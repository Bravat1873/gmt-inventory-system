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 activeTab="1"/>
  </bookViews>
  <sheets>
    <sheet name="GMT库存产品清单" sheetId="2" r:id="rId1"/>
    <sheet name="贝朗库存产品清单" sheetId="3" r:id="rId2"/>
    <sheet name="库存数量" sheetId="1" r:id="rId3"/>
  </sheets>
  <definedNames>
    <definedName name="_xlnm._FilterDatabase" localSheetId="2" hidden="1">库存数量!$B$3:$AZ$106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<sst xmlns="http://schemas.openxmlformats.org/spreadsheetml/2006/main" count="944" uniqueCount="403">
  <si>
    <t>产品分类</t>
  </si>
  <si>
    <t>物料类型</t>
  </si>
  <si>
    <t>客户料号</t>
  </si>
  <si>
    <t>产品编号（不用写）</t>
  </si>
  <si>
    <t>品牌</t>
  </si>
  <si>
    <t>系列</t>
  </si>
  <si>
    <t>物料颜色</t>
  </si>
  <si>
    <t>锁体类型</t>
  </si>
  <si>
    <t>联网方式</t>
  </si>
  <si>
    <t>销售渠道</t>
  </si>
  <si>
    <t>运营主体</t>
  </si>
  <si>
    <t>语言</t>
  </si>
  <si>
    <t>编码后缀</t>
  </si>
  <si>
    <t>型号
（系列号+第几代）</t>
  </si>
  <si>
    <t>物料规格
(不用写，会自动生成）</t>
  </si>
  <si>
    <t>产品配置</t>
  </si>
  <si>
    <t>销售最小起订量</t>
  </si>
  <si>
    <t>供应商名称</t>
  </si>
  <si>
    <t>供应商含税价</t>
  </si>
  <si>
    <t>智能门锁</t>
  </si>
  <si>
    <t>成品</t>
  </si>
  <si>
    <r>
      <rPr>
        <sz val="11"/>
        <color theme="1"/>
        <rFont val="宋体"/>
        <charset val="134"/>
        <scheme val="minor"/>
      </rPr>
      <t>BRAVAT（</t>
    </r>
    <r>
      <rPr>
        <sz val="11"/>
        <color theme="1"/>
        <rFont val="宋体"/>
        <charset val="134"/>
        <scheme val="minor"/>
      </rPr>
      <t>BR）</t>
    </r>
  </si>
  <si>
    <t>D51</t>
  </si>
  <si>
    <r>
      <rPr>
        <sz val="11"/>
        <color theme="1"/>
        <rFont val="宋体"/>
        <charset val="134"/>
        <scheme val="minor"/>
      </rPr>
      <t>宇宙黑Y</t>
    </r>
    <r>
      <rPr>
        <sz val="11"/>
        <color theme="1"/>
        <rFont val="宋体"/>
        <charset val="134"/>
        <scheme val="minor"/>
      </rPr>
      <t>ZH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</si>
  <si>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0-</t>
    </r>
    <r>
      <rPr>
        <sz val="11"/>
        <color theme="1"/>
        <rFont val="宋体"/>
        <charset val="134"/>
        <scheme val="minor"/>
      </rPr>
      <t>6068</t>
    </r>
  </si>
  <si>
    <t>W_Wifi</t>
  </si>
  <si>
    <t>P_平面</t>
  </si>
  <si>
    <t>Z珠海</t>
  </si>
  <si>
    <t>E_英文版</t>
  </si>
  <si>
    <r>
      <rPr>
        <sz val="11"/>
        <color theme="1"/>
        <rFont val="宋体"/>
        <charset val="134"/>
        <scheme val="minor"/>
      </rPr>
      <t>STANLEY</t>
    </r>
    <r>
      <rPr>
        <sz val="11"/>
        <color theme="1"/>
        <rFont val="宋体"/>
        <charset val="134"/>
        <scheme val="minor"/>
      </rPr>
      <t>智能门锁：</t>
    </r>
    <r>
      <rPr>
        <sz val="11"/>
        <color theme="1"/>
        <rFont val="宋体"/>
        <charset val="134"/>
        <scheme val="minor"/>
      </rPr>
      <t>A</t>
    </r>
  </si>
  <si>
    <t>零件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</si>
  <si>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TANLEY(SXSEL)</t>
    </r>
  </si>
  <si>
    <r>
      <rPr>
        <sz val="11"/>
        <color theme="1"/>
        <rFont val="宋体"/>
        <charset val="134"/>
        <scheme val="minor"/>
      </rPr>
      <t>红古铜H</t>
    </r>
    <r>
      <rPr>
        <sz val="11"/>
        <color theme="1"/>
        <rFont val="宋体"/>
        <charset val="134"/>
        <scheme val="minor"/>
      </rPr>
      <t>GT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</si>
  <si>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0-</t>
    </r>
    <r>
      <rPr>
        <sz val="11"/>
        <color theme="1"/>
        <rFont val="宋体"/>
        <charset val="134"/>
        <scheme val="minor"/>
      </rPr>
      <t>7068</t>
    </r>
  </si>
  <si>
    <t>B_Bluetooth</t>
  </si>
  <si>
    <t>G_工程</t>
  </si>
  <si>
    <t>S_深圳</t>
  </si>
  <si>
    <t>C_中文版</t>
  </si>
  <si>
    <r>
      <rPr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:M</t>
    </r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</si>
  <si>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MT(G)</t>
    </r>
  </si>
  <si>
    <r>
      <rPr>
        <sz val="11"/>
        <color theme="1"/>
        <rFont val="宋体"/>
        <charset val="134"/>
        <scheme val="minor"/>
      </rPr>
      <t>富贵金F</t>
    </r>
    <r>
      <rPr>
        <sz val="11"/>
        <color theme="1"/>
        <rFont val="宋体"/>
        <charset val="134"/>
        <scheme val="minor"/>
      </rPr>
      <t>GJ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</si>
  <si>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1-</t>
    </r>
    <r>
      <rPr>
        <sz val="11"/>
        <color theme="1"/>
        <rFont val="宋体"/>
        <charset val="134"/>
        <scheme val="minor"/>
      </rPr>
      <t>钩舌</t>
    </r>
  </si>
  <si>
    <t>C_Cat.1/4G</t>
  </si>
  <si>
    <t>E_电商</t>
  </si>
  <si>
    <t>G广州</t>
  </si>
  <si>
    <t>S_西班牙</t>
  </si>
  <si>
    <r>
      <rPr>
        <sz val="11"/>
        <color theme="1"/>
        <rFont val="宋体"/>
        <charset val="134"/>
        <scheme val="minor"/>
      </rPr>
      <t>Pro</t>
    </r>
    <r>
      <rPr>
        <sz val="11"/>
        <color theme="1"/>
        <rFont val="宋体"/>
        <charset val="134"/>
        <scheme val="minor"/>
      </rPr>
      <t>:P</t>
    </r>
  </si>
  <si>
    <t>摩卡金MKJ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</si>
  <si>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0-</t>
    </r>
    <r>
      <rPr>
        <sz val="11"/>
        <color theme="1"/>
        <rFont val="宋体"/>
        <charset val="134"/>
        <scheme val="minor"/>
      </rPr>
      <t>直舌</t>
    </r>
  </si>
  <si>
    <r>
      <rPr>
        <sz val="11"/>
        <color theme="1"/>
        <rFont val="宋体"/>
        <charset val="134"/>
        <scheme val="minor"/>
      </rPr>
      <t>瀑布银P</t>
    </r>
    <r>
      <rPr>
        <sz val="11"/>
        <color theme="1"/>
        <rFont val="宋体"/>
        <charset val="134"/>
        <scheme val="minor"/>
      </rPr>
      <t>BY</t>
    </r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</si>
  <si>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无锁体</t>
    </r>
  </si>
  <si>
    <t>N_NB-IoT</t>
  </si>
  <si>
    <t>K商超</t>
  </si>
  <si>
    <r>
      <rPr>
        <sz val="11"/>
        <color theme="1"/>
        <rFont val="宋体"/>
        <charset val="134"/>
        <scheme val="minor"/>
      </rPr>
      <t>星空黑X</t>
    </r>
    <r>
      <rPr>
        <sz val="11"/>
        <color theme="1"/>
        <rFont val="宋体"/>
        <charset val="134"/>
        <scheme val="minor"/>
      </rPr>
      <t>KH</t>
    </r>
  </si>
  <si>
    <t>0_单机</t>
  </si>
  <si>
    <t>D_东铁专供</t>
  </si>
  <si>
    <r>
      <rPr>
        <sz val="11"/>
        <color theme="1"/>
        <rFont val="宋体"/>
        <charset val="134"/>
        <scheme val="minor"/>
      </rPr>
      <t>宝石蓝B</t>
    </r>
    <r>
      <rPr>
        <sz val="11"/>
        <color theme="1"/>
        <rFont val="宋体"/>
        <charset val="134"/>
        <scheme val="minor"/>
      </rPr>
      <t>SL</t>
    </r>
  </si>
  <si>
    <t>M-MATTER</t>
  </si>
  <si>
    <t>G8T5VMHS02</t>
  </si>
  <si>
    <t>G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</si>
  <si>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</si>
  <si>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ZH</t>
    </r>
  </si>
  <si>
    <t>W</t>
  </si>
  <si>
    <t>P</t>
  </si>
  <si>
    <t>S</t>
  </si>
  <si>
    <r>
      <rPr>
        <sz val="11"/>
        <color theme="1"/>
        <rFont val="宋体"/>
        <charset val="134"/>
        <scheme val="minor"/>
      </rPr>
      <t>C</t>
    </r>
  </si>
  <si>
    <t>M</t>
  </si>
  <si>
    <t>T5-Max</t>
  </si>
  <si>
    <t>可视对讲
产品尺寸：433mm*82mm*71mm</t>
  </si>
  <si>
    <t>深圳吉门第智能科技有限公司</t>
  </si>
  <si>
    <t>G8T7VPYS01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</si>
  <si>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7</t>
    </r>
  </si>
  <si>
    <t>PBY</t>
  </si>
  <si>
    <t>T7-Pro</t>
  </si>
  <si>
    <t>可视对讲
产品尺寸：436mm*76mm*68mm</t>
  </si>
  <si>
    <t>G8T7VPHS02</t>
  </si>
  <si>
    <t>G8M3WGHS02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</si>
  <si>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3</t>
    </r>
  </si>
  <si>
    <t>M3-Max</t>
  </si>
  <si>
    <t>产品尺寸410mm*74mm*20.0mm</t>
  </si>
  <si>
    <t>中山安世智能科技有限公司</t>
  </si>
  <si>
    <t>G8M3WGJS01</t>
  </si>
  <si>
    <t>MKJ</t>
  </si>
  <si>
    <t>G8G3WGHS01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</si>
  <si>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3</t>
    </r>
  </si>
  <si>
    <t>G3-W</t>
  </si>
  <si>
    <t>一握开
产品尺寸374mm*78mm*74mm</t>
  </si>
  <si>
    <t>中山市易达胜智能科技有限公司</t>
  </si>
  <si>
    <t>G8T2VMHS01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</si>
  <si>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2</t>
    </r>
  </si>
  <si>
    <t>T2-MAX</t>
  </si>
  <si>
    <t>可视对讲
功能：人脸+掌静脉识别</t>
  </si>
  <si>
    <t>浙江威欧希科技股份有限公司</t>
  </si>
  <si>
    <t>G8G2WGHS01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</si>
  <si>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2</t>
    </r>
  </si>
  <si>
    <t>G2WI</t>
  </si>
  <si>
    <t>一握开</t>
  </si>
  <si>
    <t>型号（系列号+第几代）</t>
  </si>
  <si>
    <t>物料规格（不用写，会自动生成）</t>
  </si>
  <si>
    <t>G8A71HS001</t>
  </si>
  <si>
    <t>BR</t>
  </si>
  <si>
    <t>A71</t>
  </si>
  <si>
    <t>E</t>
  </si>
  <si>
    <t>A71 (BRAVAT)可视对讲款智能锁； 宇宙黑，成品:6068机械锁体，指、卡、密、人脸、涂鸦；</t>
  </si>
  <si>
    <t>可视对讲
指、卡、密、人脸、涂鸦</t>
  </si>
  <si>
    <t>G8B31AHS01</t>
  </si>
  <si>
    <r>
      <rPr>
        <sz val="11"/>
        <color theme="1"/>
        <rFont val="宋体"/>
        <charset val="134"/>
      </rPr>
      <t>G</t>
    </r>
    <r>
      <rPr>
        <sz val="11"/>
        <color theme="1"/>
        <rFont val="宋体"/>
        <charset val="134"/>
      </rPr>
      <t>2</t>
    </r>
  </si>
  <si>
    <t>B31A</t>
  </si>
  <si>
    <t>一握开智能锁(BRAVAT）;宇宙黑;成品;； 6068机械锁体, 指、卡、密（G2A）；</t>
  </si>
  <si>
    <t>一握开
指，卡，密，钥，涂鸦</t>
  </si>
  <si>
    <t>D1214K-P90</t>
  </si>
  <si>
    <t>P90</t>
  </si>
  <si>
    <t>P90-GEN2</t>
  </si>
  <si>
    <t>P90 (BRAVAT）； 可视对讲款智能锁；宇宙黑；436长*76宽*68高（mm）；6068锁体（P90）
贝朗型号：D1214K-P90</t>
  </si>
  <si>
    <r>
      <rPr>
        <sz val="10"/>
        <color rgb="FF000000"/>
        <rFont val="宋体"/>
        <charset val="134"/>
      </rPr>
      <t>D1214</t>
    </r>
    <r>
      <rPr>
        <sz val="10"/>
        <color rgb="FF000000"/>
        <rFont val="宋体"/>
        <charset val="134"/>
      </rPr>
      <t>G</t>
    </r>
    <r>
      <rPr>
        <sz val="10"/>
        <color rgb="FF000000"/>
        <rFont val="宋体"/>
        <charset val="134"/>
      </rPr>
      <t>-P90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</si>
  <si>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GJ</t>
    </r>
  </si>
  <si>
    <t>P90 (BRAVAT）； 可视对讲款智能锁；富贵金；436长*76宽*68高（mm）；6068锁体（P90）
贝朗型号：D1214G-P90</t>
  </si>
  <si>
    <t>G8B51DHS01</t>
  </si>
  <si>
    <r>
      <rPr>
        <sz val="11"/>
        <color rgb="FF000000"/>
        <rFont val="宋体"/>
        <charset val="134"/>
      </rPr>
      <t>D51</t>
    </r>
    <r>
      <rPr>
        <sz val="11"/>
        <color rgb="FF000000"/>
        <rFont val="宋体"/>
        <charset val="134"/>
      </rPr>
      <t>-GEN2</t>
    </r>
  </si>
  <si>
    <t>B51D，一握开智能锁(BRAVAT）宇宙黑，成品； 6068机械锁体，指、卡、密+涂鸦（D51）；</t>
  </si>
  <si>
    <t>D1213K-D51</t>
  </si>
  <si>
    <t>D51一握开智能锁
颜色：宇宙黑
功能：指，卡，密，钥，涂鸦平台LOGO：BRAVAT
锁体：7068机械锁体
电池：干电池（不配）
出厂语音：英文
贝朗型号：D1213K-D51</t>
  </si>
  <si>
    <r>
      <rPr>
        <sz val="11"/>
        <color rgb="FF000000"/>
        <rFont val="宋体"/>
        <charset val="134"/>
      </rPr>
      <t>D</t>
    </r>
    <r>
      <rPr>
        <sz val="11"/>
        <color rgb="FF000000"/>
        <rFont val="宋体"/>
        <charset val="134"/>
      </rPr>
      <t>51</t>
    </r>
  </si>
  <si>
    <r>
      <rPr>
        <sz val="11"/>
        <color rgb="FF000000"/>
        <rFont val="宋体"/>
        <charset val="134"/>
      </rPr>
      <t>B51D</t>
    </r>
    <r>
      <rPr>
        <sz val="11"/>
        <color rgb="FF000000"/>
        <rFont val="宋体"/>
        <charset val="134"/>
      </rPr>
      <t>-GEN2</t>
    </r>
  </si>
  <si>
    <t xml:space="preserve">D51一握开智能锁
颜色：宇宙黑
功能：指，卡，密，钥，涂鸦平台LOGO：BRAVAT
锁体：7068机械锁体
电池：干电池（不配）
出厂语音：西班牙
</t>
  </si>
  <si>
    <t>BR_S70HGT60WPSE</t>
  </si>
  <si>
    <t>S70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</si>
  <si>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GT</t>
    </r>
  </si>
  <si>
    <t>S70-GEN3</t>
  </si>
  <si>
    <t>S70 (BRAVAT）； 可视对讲款智能锁；红古铜；433*77*58（mm）；6068锁体、4.0吋屏、涂鸦Wifi（S70）英文版</t>
  </si>
  <si>
    <t>可视对讲
产品尺寸：433mm*77mm*58mm
4.0吋屏、涂鸦</t>
  </si>
  <si>
    <t>中山开乐科技有限公司</t>
  </si>
  <si>
    <r>
      <rPr>
        <sz val="11"/>
        <color rgb="FF000000"/>
        <rFont val="宋体"/>
        <charset val="134"/>
      </rPr>
      <t>D</t>
    </r>
    <r>
      <rPr>
        <sz val="11"/>
        <color rgb="FF000000"/>
        <rFont val="宋体"/>
        <charset val="134"/>
      </rPr>
      <t>1212K-C51</t>
    </r>
  </si>
  <si>
    <t>C51</t>
  </si>
  <si>
    <t>C51宇宙黑+6068锁体（外贸平面）
指，卡，密，钥，涂鸦平台，干电池"贝朗型号D1212K-C51
6068机械锁体，默认英文语音 "</t>
  </si>
  <si>
    <t>吉门第库存汇总表</t>
  </si>
  <si>
    <t>可用库存数量=实际库存+在途数量-已锁定数量</t>
  </si>
  <si>
    <t>供应商</t>
  </si>
  <si>
    <t>备注</t>
  </si>
  <si>
    <t>序号</t>
  </si>
  <si>
    <t>物料编号
SKU</t>
  </si>
  <si>
    <t>型号</t>
  </si>
  <si>
    <t>版本</t>
  </si>
  <si>
    <t>颜色</t>
  </si>
  <si>
    <t>锁体</t>
  </si>
  <si>
    <t>单位</t>
  </si>
  <si>
    <t>实际
库存
数量</t>
  </si>
  <si>
    <t>可用
库存数量</t>
  </si>
  <si>
    <t>已锁定数量</t>
  </si>
  <si>
    <t>在途
数量</t>
  </si>
  <si>
    <t>0530
唐道海
交接数据</t>
  </si>
  <si>
    <t>0608</t>
  </si>
  <si>
    <t>0611</t>
  </si>
  <si>
    <t>0612</t>
  </si>
  <si>
    <t>0617</t>
  </si>
  <si>
    <t>0622</t>
  </si>
  <si>
    <t>0625</t>
  </si>
  <si>
    <t>0630</t>
  </si>
  <si>
    <t>0701</t>
  </si>
  <si>
    <t>0706</t>
  </si>
  <si>
    <t>0707</t>
  </si>
  <si>
    <t>0708</t>
  </si>
  <si>
    <t>0713</t>
  </si>
  <si>
    <t>0716</t>
  </si>
  <si>
    <t>0721</t>
  </si>
  <si>
    <t>0722</t>
  </si>
  <si>
    <t>0804</t>
  </si>
  <si>
    <t>0810</t>
  </si>
  <si>
    <t>0811</t>
  </si>
  <si>
    <t>0812</t>
  </si>
  <si>
    <t>0813</t>
  </si>
  <si>
    <t>0814</t>
  </si>
  <si>
    <t>铭爱
钧乔</t>
  </si>
  <si>
    <t>博乐
龙米</t>
  </si>
  <si>
    <t>老挝</t>
  </si>
  <si>
    <t>贝朗</t>
  </si>
  <si>
    <t>马来
西亚</t>
  </si>
  <si>
    <t>出库</t>
  </si>
  <si>
    <t>入库</t>
  </si>
  <si>
    <t>录入系统</t>
  </si>
  <si>
    <t>GMT</t>
  </si>
  <si>
    <t>T5VM可视对讲款智能锁
颜色：宇宙黑；
LOGO：GMT 
产品尺寸：433长*82宽*71高mm</t>
  </si>
  <si>
    <t>宇宙黑</t>
  </si>
  <si>
    <t>套</t>
  </si>
  <si>
    <t>爱迪生</t>
  </si>
  <si>
    <t>T7VP可视对讲款智能锁
颜色：瀑布银
LOGO：GMT 
产品尺寸：436长*76宽*68高mm</t>
  </si>
  <si>
    <t>瀑布银</t>
  </si>
  <si>
    <t>出货需升级</t>
  </si>
  <si>
    <t>T7VP可视对讲款智能锁
颜色：宇宙黑
LOGO：GMT 
产品尺寸：436长*76宽*68高mm</t>
  </si>
  <si>
    <t>M3-Max智能锁
颜色：宇宙黑
产品尺寸410×74×20.0mm</t>
  </si>
  <si>
    <t>安世</t>
  </si>
  <si>
    <t>M3-Max智能锁
颜色：摩卡金
LOGO：GMT 
产品尺寸410×74×20.0mm</t>
  </si>
  <si>
    <t>摩卡金</t>
  </si>
  <si>
    <t>G3W一握开智能锁
颜色：宇宙黑
LOGO：GMT 
涂鸦，WiFi版本
产品尺寸：374长*78宽*74高mm</t>
  </si>
  <si>
    <t>易达胜</t>
  </si>
  <si>
    <t>T2-Max可视对讲款智能锁
颜色：宇宙黑
LOGO：GMT
锁体：6068机械锁体
功能：人脸+掌静脉识别</t>
  </si>
  <si>
    <t>6068
机械锁体</t>
  </si>
  <si>
    <t>VOC</t>
  </si>
  <si>
    <t>G2-Wi一握开智能锁
颜色：宇宙黑
LOGO：GMT
锁体：6068机械锁体
涂鸦Wifi</t>
  </si>
  <si>
    <t>STANLEY</t>
  </si>
  <si>
    <t>G8P50HS003</t>
  </si>
  <si>
    <t>P50</t>
  </si>
  <si>
    <t>P50WiFi款智能锁
颜色：宇宙黑
LOGO：stanley
锁体：6068电子锁体
产品尺：436长*76宽*68高mm</t>
  </si>
  <si>
    <t>GEN1</t>
  </si>
  <si>
    <t>G8P50FG001</t>
  </si>
  <si>
    <t>P50WiFi款智能锁
颜色：富贵金
LOGO：stanley
锁体：6068电子锁体
产品尺：436长*76宽*68高mm</t>
  </si>
  <si>
    <t>富贵金</t>
  </si>
  <si>
    <t>G8P90FG001</t>
  </si>
  <si>
    <t>P90可视对讲款智能锁
颜色：富贵金
LOGO：stanley
锁体：6068电子锁体
功能：3D人脸/掌静脉/密码/卡片/钥匙/
其他：临时密码/远程开锁/涂鸦wifi/锂电池</t>
  </si>
  <si>
    <t>G8P90FG002</t>
  </si>
  <si>
    <t>P90可视对讲款智能锁
颜色：富贵金
LOGO：stanley
锁体：7068电子锁体
功能：3D人脸/掌静脉/密码/卡片/钥匙/
其他：临时密码/远程开锁/涂鸦wifi/锂电池</t>
  </si>
  <si>
    <t>无锂电池</t>
  </si>
  <si>
    <t>G8P90FG003</t>
  </si>
  <si>
    <t>P90假锁</t>
  </si>
  <si>
    <t>P90假锁(富贵金)； P90假锁；富贵金；436长*76宽*68高（mm）</t>
  </si>
  <si>
    <t>/</t>
  </si>
  <si>
    <t>SXSEL_P90YZH70WPSE-A</t>
  </si>
  <si>
    <t>P90可视对讲款智能锁
颜色：宇宙黑
LOGO：stanley
锁体：7068电子锁体
功能：3D人脸/掌静脉/密码/卡片/钥匙/
其他：临时密码/远程开锁/涂鸦wifi/锂电池
出厂语音：英文</t>
  </si>
  <si>
    <t>GEN2</t>
  </si>
  <si>
    <t>SXSEL_P90YZH60WPSE-A</t>
  </si>
  <si>
    <t>P90可视对讲款智能锁
颜色：宇宙黑
LOGO：stanley
锁体：6068电子锁体
功能：3D人脸/掌静脉/密码/卡片/钥匙/
其他：临时密码/远程开锁/涂鸦wifi/锂电池
出厂语音：英文</t>
  </si>
  <si>
    <t>SXSEL_P90YZHZSSPSE-A</t>
  </si>
  <si>
    <t>P90装饰锁</t>
  </si>
  <si>
    <t>P90装饰锁
颜色：宇宙黑
LOGO：stanley</t>
  </si>
  <si>
    <t>SXSEL_P90FGJ70WPSE-A</t>
  </si>
  <si>
    <t>P90可视对讲款智能锁
颜色：富贵金
LOGO：stanley
锁体：7068电子锁体
功能：3D人脸/掌静脉/密码/卡片/钥匙/
其他：临时密码/远程开锁/涂鸦wifi/锂电池
出厂语音：英文</t>
  </si>
  <si>
    <t>SXSEL_P90FGJ60WPSE-A</t>
  </si>
  <si>
    <t>P90可视对讲款智能锁
颜色：富贵金
LOGO：stanley
锁体：6068电子锁体
功能：3D人脸/掌静脉/密码/卡片/钥匙/
其他：临时密码/远程开锁/涂鸦wifi/锂电池
出厂语音：英文</t>
  </si>
  <si>
    <t>SXSEL_P90FGJZSSPSE-A</t>
  </si>
  <si>
    <t>P90装饰锁
颜色：富贵金
LOGO：stanley</t>
  </si>
  <si>
    <t>SXSEL_S70HGT70WPSE-A</t>
  </si>
  <si>
    <t>S70可视对讲款智能锁
颜色：红古铜
LOGO：stanley
锁体：7068电子锁体
产品尺寸：433长*82宽*71高mm
功能：人脸、指纹、掌静脉、卡、密、钥
其他：其他:4.0吋电子，涂鸦WIFI，锂电池
出厂语言：英文</t>
  </si>
  <si>
    <t>CEN3</t>
  </si>
  <si>
    <t>红古铜</t>
  </si>
  <si>
    <t>开乐</t>
  </si>
  <si>
    <t>SXSEL_S70HGT60WPSE-A</t>
  </si>
  <si>
    <t>S70可视对讲款智能锁
颜色：红古铜
LOGO：stanley
锁体：6068电子锁体
产品尺寸：433长*82宽*71高mm
功能：人脸、指纹、掌静脉、卡、密、钥
其他：4.0吋电子，涂鸦WIFI，锂电池
出厂语言：英文</t>
  </si>
  <si>
    <t>SXSEL_S70YZH60WPSC-A</t>
  </si>
  <si>
    <t>S70可视对讲款智能锁
颜色：宇宙黑
LOGO：stanley
锁体：6068电子锁体
产品尺寸：433长*82宽*71高（mm）
功能：人脸、指纹、卡、密、钥
其他：4.0吋电子，涂鸦WIFI，锂电池
出厂语言：中文</t>
  </si>
  <si>
    <t>CEN2</t>
  </si>
  <si>
    <t>G8S70HG003</t>
  </si>
  <si>
    <t>S70装饰锁</t>
  </si>
  <si>
    <t>S70装饰锁
颜色：红古铜
LOGO：stanley</t>
  </si>
  <si>
    <t>G8F50HS001</t>
  </si>
  <si>
    <t>F50</t>
  </si>
  <si>
    <t>F50可视对讲款智能锁
颜色：宇宙黑
功能：指纹/密码/卡片/钥匙/涂鸦wifi
LOGO：stanley
锁体：6068电子锁体
电池：7.4V
锂聚合物电池5000mAh</t>
  </si>
  <si>
    <t>SXSEL_F50YZH70WPSE-A</t>
  </si>
  <si>
    <t>F50可视对讲款智能锁
颜色：宇宙黑
功能：指纹/密码/卡片/钥匙/涂鸦wifi
LOGO：stanley
锁体：7068电子锁体
电池：7.4V
锂聚合物电池5000mAh
出厂语音：英文</t>
  </si>
  <si>
    <t>GEN3</t>
  </si>
  <si>
    <t>G8F70HS001</t>
  </si>
  <si>
    <t>F70</t>
  </si>
  <si>
    <t>F70 智能锁（7068锁体）宇宙黑； 成品；宇宙黑;413长*78宽*74高（mm）</t>
  </si>
  <si>
    <t>SXSEL_F70YZH70WPSE-A</t>
  </si>
  <si>
    <t>F70宇宙黑+7068锁体（外贸平面）
人脸，指，卡，密，钥，4.0吋电子涂鸦猫眼 锂电池 支持悠游卡</t>
  </si>
  <si>
    <t>G8D51HS002</t>
  </si>
  <si>
    <t>D51 智能锁（7068锁体）宇宙黑； 宇宙黑;374长*78宽*74高（mm）</t>
  </si>
  <si>
    <t>SXSEL_D51YZH7068MS-A</t>
  </si>
  <si>
    <t>D51可视对讲款智能锁
颜色：宇宙黑
功能：指纹/密码/卡片/钥匙/涂鸦wifi
LOGO：stanley
锁体：7068
全自动机械锁体
出厂语音：英文</t>
  </si>
  <si>
    <t>SXSEL_D51YZH70WGMS-A</t>
  </si>
  <si>
    <t>D51宇宙黑+7068锁体(外贸工程)； 智能门锁；指，卡，密，钥，涂鸦Wifi 干电池</t>
  </si>
  <si>
    <t>SXSEL_D51YZH70WGSE-A</t>
  </si>
  <si>
    <t>D51智能门锁（宇宙黑）；7068锁体(外贸工程)； 指，卡，密，钥，涂鸦Wifi 干电池</t>
  </si>
  <si>
    <t>SXSEL_D61YZH70WGMS-A</t>
  </si>
  <si>
    <t>D61</t>
  </si>
  <si>
    <t>D61外贸工程款+7068锁体(宇宙黑)指，卡，密，钥，3.5寸屏，涂鸦wifi 7916</t>
  </si>
  <si>
    <t>SXSEL_D51YZH70WPSE-A</t>
  </si>
  <si>
    <t>D51Wifi款智能锁
经销款
颜色：宇宙黑
功能：指纹/密码/卡片/钥匙/涂鸦WIFI
LOGO：stanley
锁体：7068
全自动机械锁体
出厂语音：英文</t>
  </si>
  <si>
    <t>SXSEL_D61YZH70WPSE-A</t>
  </si>
  <si>
    <t>D61可视对讲款智能锁
经销款
颜色：宇宙黑
功能：指纹/密码/卡片/钥匙/涂鸦WIFI/3.5吋电子涂鸦猫眼WBR3
LOGO：stanley
锁体：7068
全自动机械锁体
电池：7.4V
锂聚合物电池4200mAh
出厂语音：英文</t>
  </si>
  <si>
    <t>SXSEL_K60YZH70WPSE-A</t>
  </si>
  <si>
    <t>K60</t>
  </si>
  <si>
    <t>K60
颜色：宇宙黑
功能：3D人脸/掌静脉/指纹/密码/卡片/钥匙/临时密码/远程开锁/4.5吋电子涂鸦猫眼
LOGO：stanley
锁体：7068
全自动智能锁体
电池：台湾定制
7.4V
锂聚合物电池6000mAh
出厂语音：英文</t>
  </si>
  <si>
    <t>SXSEL_K60FGJ70WPSE-A</t>
  </si>
  <si>
    <t>K60
颜色：富贵金
功能：3D人脸/掌静脉/指纹/密码/卡片/钥匙/临时密码/远程开锁/4.5吋电子涂鸦猫眼
LOGO：stanley
锁体：7068
全自动智能锁体
电池：台湾定制
7.4V
锂聚合物电池6000mAh
出厂语音：英文</t>
  </si>
  <si>
    <t>SXSEL_M30YZH00BPSE-A</t>
  </si>
  <si>
    <t>M30</t>
  </si>
  <si>
    <t>M30 
颜色：宇宙黑
 功能：指纹/密码/卡+涂鸦蓝牙
LOGO：stanley
锁体：后面板自带方舌
电池：干电池AA*5（不配）
出厂语音：英文 
供应商料号：R8-HB-GMT</t>
  </si>
  <si>
    <t>后面板自带方舌</t>
  </si>
  <si>
    <t>亿联</t>
  </si>
  <si>
    <t>SXSEL_E71YZH60WPMS-A</t>
  </si>
  <si>
    <t>E71</t>
  </si>
  <si>
    <t>E71、宇宙黑、6068锁体、Wifi、平面渠道</t>
  </si>
  <si>
    <t>SXSEL_C51YZH6OWPMS-A</t>
  </si>
  <si>
    <t>C51、宇宙黑、6068锁体、Wifi、平面渠道</t>
  </si>
  <si>
    <t>SXSEL_Q71YZH60WPMS-A</t>
  </si>
  <si>
    <t>Q71</t>
  </si>
  <si>
    <t>Q71、宇宙黑、6068锁体、Wifi、平面渠道</t>
  </si>
  <si>
    <t>BRAVAT</t>
  </si>
  <si>
    <t>G8P90HS004</t>
  </si>
  <si>
    <t>G8P90FG004</t>
  </si>
  <si>
    <t>6068机械锁体</t>
  </si>
  <si>
    <t>BR_D51YZH70WPSE</t>
  </si>
  <si>
    <t>7068机械锁体</t>
  </si>
  <si>
    <t>BR_D51YZH70WPSS</t>
  </si>
  <si>
    <t>B51D</t>
  </si>
  <si>
    <t>BR_C51YZH60WPSE</t>
  </si>
  <si>
    <t>物料</t>
  </si>
  <si>
    <t>G4SJMN0001</t>
  </si>
  <si>
    <t>锁架</t>
  </si>
  <si>
    <t>模拟门锁架； 570*233*50塑钢内门金属边框 stanley</t>
  </si>
  <si>
    <t>白色</t>
  </si>
  <si>
    <t>G4SJMN0002</t>
  </si>
  <si>
    <t>崁入式转动锁架； 550*185*50塑钢白色喷涂，无印刷</t>
  </si>
  <si>
    <t>G4SJMN0003</t>
  </si>
  <si>
    <t>转动锁架 530*173*46拉丝工艺配200*2铁圆片铝转盘底坐（ZH550-200-50）</t>
  </si>
  <si>
    <t>铝合金</t>
  </si>
  <si>
    <t>G5QTQT0003</t>
  </si>
  <si>
    <t>机械锁体</t>
  </si>
  <si>
    <t>6068机械锁体(铁门);6068全自动锁体;铁门用</t>
  </si>
  <si>
    <t>G5QTQT0006</t>
  </si>
  <si>
    <t>6068机械锁体(铁门)； 30*240机械锁体；带扣板；无天地钩；无扣盒；镭雕GMT</t>
  </si>
  <si>
    <t>G5QTQT0004</t>
  </si>
  <si>
    <t>自动锁体</t>
  </si>
  <si>
    <t>7068全自动锁体； （Q70H）六孚全自动锁体,4P线</t>
  </si>
  <si>
    <t>G5QTQT0007</t>
  </si>
  <si>
    <t>6068全自动锁体； LE60H六孚全自动锁体 4P</t>
  </si>
  <si>
    <t>G5QTQT0001</t>
  </si>
  <si>
    <t>L01全自动锁体(铁门)24*240*2.5mm；6068全自动锁体；铁门用；</t>
  </si>
  <si>
    <t>G1BJYS0A02</t>
  </si>
  <si>
    <t>K60后锁增高垫</t>
  </si>
  <si>
    <t>铝合金73.4*419.4*5 mm；CNC氧化宇宙黑</t>
  </si>
  <si>
    <t>PCS</t>
  </si>
  <si>
    <t>G1BJYS0A01</t>
  </si>
  <si>
    <t>P90后锁增高垫</t>
  </si>
  <si>
    <t>G1BXYS0007</t>
  </si>
  <si>
    <t>T7把手(富贵金)； 锌合金；喷漆富贵金</t>
  </si>
  <si>
    <t>G1BXYS0004</t>
  </si>
  <si>
    <t>T7把手（银色）； 锌合金;喷漆;银色</t>
  </si>
  <si>
    <t>银色</t>
  </si>
  <si>
    <t>G1BXYS0009</t>
  </si>
  <si>
    <t>T7把手（宇宙黑）； 锌合金；喷粉哑黑MBL</t>
  </si>
  <si>
    <t>G1BXYS0008</t>
  </si>
  <si>
    <t>T7把手(星际黑)； 锌合金；电镀黑色拉丝</t>
  </si>
  <si>
    <t>星际黑</t>
  </si>
  <si>
    <t>G1BXYS0010</t>
  </si>
  <si>
    <t>T7把手-STANLEY（银色）； 锌合金；喷漆银色；镭雕STANLEY</t>
  </si>
  <si>
    <t>G4SJPT0001</t>
  </si>
  <si>
    <t>GMT普通锁架</t>
  </si>
  <si>
    <t>G7QTCS0001</t>
  </si>
  <si>
    <t>M1卡，小卡42*26（加密滴胶卡）带LOGO GMT</t>
  </si>
  <si>
    <t>G1SJHS0026</t>
  </si>
  <si>
    <t>电池盖 T6-24-00 黑色防火ABS；拉丝纹；丝印LOGO</t>
  </si>
  <si>
    <t>G7DCQT0002</t>
  </si>
  <si>
    <t>锂电池5000mAh；C+C-P-P+</t>
  </si>
  <si>
    <t>G7DCQT0005</t>
  </si>
  <si>
    <t>锂电池； 锂电池2250mAh；C+C-P-P+</t>
  </si>
  <si>
    <t>G7DCQT0006</t>
  </si>
  <si>
    <t>锂电池-外贸； 锂电池5000mAh；C+C-P-P+；英文铭牌</t>
  </si>
  <si>
    <t>G5PALS0151</t>
  </si>
  <si>
    <t>猫眼PCBA主板 (涂鸦)； KKZY_5713_36*60_WBRL_3.0</t>
  </si>
  <si>
    <t>G5PALS0187</t>
  </si>
  <si>
    <t>触摸板； KKZY_KFN1C4P 10x50_V1 0.5mm间距 1通道 4pin 50mm 触摸软板</t>
  </si>
  <si>
    <t>G1SJHS0016</t>
  </si>
  <si>
    <t>PIR感应帽半透黑ABS,内部光学纹路</t>
  </si>
  <si>
    <t>G5PALS0074</t>
  </si>
  <si>
    <t>3D人脸+掌静脉模组； Venus-Lite X 3D人脸+掌静脉 41.00mm×15.50mm×8.5mm</t>
  </si>
  <si>
    <t>G5XSHS0005</t>
  </si>
  <si>
    <t>H6显示屏组件-可视对讲； 防火ABS+4寸屏+屏驱动组件</t>
  </si>
  <si>
    <t>G5LHP00001</t>
  </si>
  <si>
    <t>离合盘组件;组合件;锌合金;电镀环保彩锌</t>
  </si>
  <si>
    <t>G1CJTQ0001</t>
  </si>
  <si>
    <t>H6电机轴； φ15.8*34.5碳钢镀镍；</t>
  </si>
  <si>
    <t>G1CJQT0006</t>
  </si>
  <si>
    <t>扁轴； 冷轧板电镀白锌；90x8x2mm</t>
  </si>
  <si>
    <t>G1CJTQ0003</t>
  </si>
  <si>
    <t>快开电机； DQ006-160T；雅尔</t>
  </si>
  <si>
    <t>G1THYS0012</t>
  </si>
  <si>
    <t>离合销弹簧； G3-32-00;SUS304</t>
  </si>
  <si>
    <t>G5DJHS0002</t>
  </si>
  <si>
    <t>H6电机组件； DSD-650SC3900087000-87K5；单头2P2.54XH-1007#20黑红并线-270-浸锡2</t>
  </si>
  <si>
    <t>G5PALS0126</t>
  </si>
  <si>
    <t>LCD屏； 4寸 IPS高清 分辨率800*480</t>
  </si>
  <si>
    <t>G5PALS0311</t>
  </si>
  <si>
    <t>摄像头模组； 30+CAM_100W_3418_030_01(KK10016-12.3)-X2</t>
  </si>
  <si>
    <t>G1SZ241701</t>
  </si>
  <si>
    <t>FPC天线； D51: H1C170F3D319A/2.4G内置FPC天线/0.81黑色线 L=170mm+国产IPEX（二代）</t>
  </si>
  <si>
    <t>G1PBT62L11</t>
  </si>
  <si>
    <t>主板； 猫眼保活5713 WIFI:3861L 蓝牙配网</t>
  </si>
  <si>
    <t>G5PALS0181</t>
  </si>
  <si>
    <t>人脸识别模组； 阜时人脸 FS3608，3D人脸识别方案一体化模组，100W镜头</t>
  </si>
  <si>
    <t>G1QT112101</t>
  </si>
  <si>
    <t>欧维星指纹头； BJX1121001-V2.0 传感器型号：BF83112B 图像像素：112*96 100枚指纹ID</t>
  </si>
  <si>
    <t>G1QT112102</t>
  </si>
  <si>
    <t>欧维星指纹头； BJX1121007-V4.0 传感器型号：BF83112B 图像像素：112*96 100枚指纹ID 不带灯</t>
  </si>
  <si>
    <t>G1SUMS5802</t>
  </si>
  <si>
    <t>雷达模块； MS10-2211J26M4-MS-3V3-G-5J-NLS-MCU （10G，单线通讯，80cm感应距离）固件编号:5C71-吉门第-MS10-2211J26m4-3.3-G-5P-MCU-0.8M-20240416.hex</t>
  </si>
  <si>
    <t>G1SJHS0078</t>
  </si>
  <si>
    <t>小电池盖； 未来R4600树脂（T7-MAX)</t>
  </si>
  <si>
    <t>G5MBHG0053</t>
  </si>
  <si>
    <t>T5VM（新款）前面板组合件（宇宙黑）； 组合件；无面板</t>
  </si>
  <si>
    <t>G5QTZS0024</t>
  </si>
  <si>
    <t>H6VM配件盒组件； 162*89*36mm（含配件）</t>
  </si>
  <si>
    <t>G5XSHS0004</t>
  </si>
  <si>
    <t>T6显示屏组件可视对讲款;防火ABS+屏+屏驱动组件</t>
  </si>
  <si>
    <t>G5QTZS0042</t>
  </si>
  <si>
    <t>S70配件盒组件（7068锁体）； 180*128*35mm（含配件）无电池</t>
  </si>
  <si>
    <t>G5QTZS0029</t>
  </si>
  <si>
    <t>T5（新款）配件盒组件；； 162*89*36mm （含配件）</t>
  </si>
  <si>
    <t>史丹利工衣（XXL)</t>
  </si>
  <si>
    <t>件</t>
  </si>
  <si>
    <t>史丹利工衣（XL)</t>
  </si>
  <si>
    <t>史丹利工衣（L)</t>
  </si>
  <si>
    <t>史丹利工衣（M)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</si>
</sst>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9"/>
      <color rgb="FF000000"/>
      <name val="宋体"/>
      <charset val="134"/>
    </font>
    <font>
      <b/>
      <sz val="9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18" applyNumberFormat="0" applyAlignment="0" applyProtection="0">
      <alignment vertical="center"/>
    </xf>
    <xf numFmtId="0" fontId="31" fillId="11" borderId="19" applyNumberFormat="0" applyAlignment="0" applyProtection="0">
      <alignment vertical="center"/>
    </xf>
    <xf numFmtId="0" fontId="32" fillId="11" borderId="18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top" wrapText="1"/>
    </xf>
    <xf numFmtId="0" fontId="12" fillId="7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5" fillId="0" borderId="5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zoomScale="70" zoomScaleNormal="70" workbookViewId="0">
      <selection activeCell="L31" sqref="L31"/>
    </sheetView>
  </sheetViews>
  <sheetFormatPr defaultColWidth="9" defaultRowHeight="13.5"/>
  <cols>
    <col min="1" max="2" width="9" style="5"/>
    <col min="3" max="3" width="15.1083333333333" style="5" customWidth="1"/>
    <col min="4" max="4" width="20.5583333333333" style="94" customWidth="1"/>
    <col min="5" max="6" width="8.88333333333333" style="5" customWidth="1"/>
    <col min="7" max="7" width="11.8833333333333" style="5" customWidth="1"/>
    <col min="8" max="8" width="9.66666666666667" style="5" customWidth="1"/>
    <col min="9" max="9" width="12.775" style="5" customWidth="1"/>
    <col min="10" max="10" width="11.6666666666667" style="5" customWidth="1"/>
    <col min="11" max="11" width="11" style="5" customWidth="1"/>
    <col min="12" max="12" width="11.3333333333333" style="5" customWidth="1"/>
    <col min="13" max="13" width="18.75" style="5" customWidth="1"/>
    <col min="14" max="14" width="16.25" style="5" customWidth="1"/>
    <col min="15" max="15" width="19.275" style="5" customWidth="1"/>
    <col min="16" max="16" width="26.25" style="5" customWidth="1"/>
    <col min="17" max="17" width="13.925" style="5" customWidth="1"/>
    <col min="18" max="18" width="26.9583333333333" style="5" customWidth="1"/>
    <col min="19" max="19" width="12.3166666666667" style="5" customWidth="1"/>
    <col min="20" max="16384" width="9" style="5"/>
  </cols>
  <sheetData>
    <row r="1" s="106" customFormat="1" ht="48" customHeight="1" spans="1:19">
      <c r="A1" s="99" t="s">
        <v>0</v>
      </c>
      <c r="B1" s="99" t="s">
        <v>1</v>
      </c>
      <c r="C1" s="99" t="s">
        <v>2</v>
      </c>
      <c r="D1" s="107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99" t="s">
        <v>12</v>
      </c>
      <c r="N1" s="99" t="s">
        <v>13</v>
      </c>
      <c r="O1" s="99" t="s">
        <v>14</v>
      </c>
      <c r="P1" s="99" t="s">
        <v>15</v>
      </c>
      <c r="Q1" s="99" t="s">
        <v>16</v>
      </c>
      <c r="R1" s="99" t="s">
        <v>17</v>
      </c>
      <c r="S1" s="99" t="s">
        <v>18</v>
      </c>
    </row>
    <row r="2" ht="17.1" customHeight="1" spans="1:19">
      <c r="A2" s="37" t="s">
        <v>19</v>
      </c>
      <c r="B2" s="37" t="s">
        <v>20</v>
      </c>
      <c r="C2" s="37"/>
      <c r="D2" s="97"/>
      <c r="E2" s="95" t="s">
        <v>21</v>
      </c>
      <c r="F2" s="37" t="s">
        <v>22</v>
      </c>
      <c r="G2" s="95" t="s">
        <v>23</v>
      </c>
      <c r="H2" s="95" t="s">
        <v>24</v>
      </c>
      <c r="I2" s="37" t="s">
        <v>25</v>
      </c>
      <c r="J2" s="95" t="s">
        <v>26</v>
      </c>
      <c r="K2" s="95" t="s">
        <v>27</v>
      </c>
      <c r="L2" s="95" t="s">
        <v>28</v>
      </c>
      <c r="M2" s="95" t="s">
        <v>29</v>
      </c>
      <c r="N2" s="37"/>
      <c r="O2" s="37"/>
      <c r="P2" s="37"/>
      <c r="Q2" s="37"/>
      <c r="R2" s="37"/>
      <c r="S2" s="37"/>
    </row>
    <row r="3" ht="27.9" customHeight="1" spans="1:19">
      <c r="A3" s="37"/>
      <c r="B3" s="37" t="s">
        <v>30</v>
      </c>
      <c r="C3" s="37"/>
      <c r="D3" s="97"/>
      <c r="E3" s="95" t="s">
        <v>31</v>
      </c>
      <c r="F3" s="37"/>
      <c r="G3" s="95" t="s">
        <v>32</v>
      </c>
      <c r="H3" s="95" t="s">
        <v>33</v>
      </c>
      <c r="I3" s="95" t="s">
        <v>34</v>
      </c>
      <c r="J3" s="95" t="s">
        <v>35</v>
      </c>
      <c r="K3" s="95" t="s">
        <v>36</v>
      </c>
      <c r="L3" s="95" t="s">
        <v>37</v>
      </c>
      <c r="M3" s="95" t="s">
        <v>38</v>
      </c>
      <c r="N3" s="37"/>
      <c r="O3" s="37"/>
      <c r="P3" s="37"/>
      <c r="Q3" s="37"/>
      <c r="R3" s="37"/>
      <c r="S3" s="37"/>
    </row>
    <row r="4" ht="19.2" customHeight="1" spans="1:19">
      <c r="A4" s="37"/>
      <c r="B4" s="37"/>
      <c r="C4" s="37"/>
      <c r="D4" s="97"/>
      <c r="E4" s="95" t="s">
        <v>39</v>
      </c>
      <c r="F4" s="37"/>
      <c r="G4" s="95" t="s">
        <v>40</v>
      </c>
      <c r="H4" s="95" t="s">
        <v>41</v>
      </c>
      <c r="I4" s="95" t="s">
        <v>42</v>
      </c>
      <c r="J4" s="95" t="s">
        <v>43</v>
      </c>
      <c r="K4" s="95" t="s">
        <v>44</v>
      </c>
      <c r="L4" s="95" t="s">
        <v>45</v>
      </c>
      <c r="M4" s="95" t="s">
        <v>46</v>
      </c>
      <c r="N4" s="37"/>
      <c r="O4" s="37"/>
      <c r="P4" s="37"/>
      <c r="Q4" s="37"/>
      <c r="R4" s="37"/>
      <c r="S4" s="37"/>
    </row>
    <row r="5" ht="19.2" customHeight="1" spans="1:19">
      <c r="A5" s="37"/>
      <c r="B5" s="37"/>
      <c r="C5" s="37"/>
      <c r="D5" s="97"/>
      <c r="E5" s="95"/>
      <c r="F5" s="37"/>
      <c r="G5" s="95" t="s">
        <v>47</v>
      </c>
      <c r="H5" s="95" t="s">
        <v>48</v>
      </c>
      <c r="I5" s="95"/>
      <c r="J5" s="95"/>
      <c r="K5" s="95"/>
      <c r="L5" s="95"/>
      <c r="M5" s="95"/>
      <c r="N5" s="37"/>
      <c r="O5" s="37"/>
      <c r="P5" s="37"/>
      <c r="Q5" s="37"/>
      <c r="R5" s="37"/>
      <c r="S5" s="37"/>
    </row>
    <row r="6" ht="19.2" customHeight="1" spans="1:19">
      <c r="A6" s="37"/>
      <c r="B6" s="37"/>
      <c r="C6" s="37"/>
      <c r="D6" s="97"/>
      <c r="E6" s="37"/>
      <c r="F6" s="37"/>
      <c r="G6" s="95" t="s">
        <v>49</v>
      </c>
      <c r="H6" s="95" t="s">
        <v>50</v>
      </c>
      <c r="I6" s="95" t="s">
        <v>51</v>
      </c>
      <c r="J6" s="95" t="s">
        <v>52</v>
      </c>
      <c r="K6" s="37"/>
      <c r="L6" s="37"/>
      <c r="M6" s="37"/>
      <c r="N6" s="37"/>
      <c r="O6" s="37"/>
      <c r="P6" s="37"/>
      <c r="Q6" s="37"/>
      <c r="R6" s="37"/>
      <c r="S6" s="37"/>
    </row>
    <row r="7" ht="19.2" customHeight="1" spans="1:19">
      <c r="A7" s="37"/>
      <c r="B7" s="37"/>
      <c r="C7" s="37"/>
      <c r="D7" s="97"/>
      <c r="E7" s="37"/>
      <c r="F7" s="37"/>
      <c r="G7" s="95" t="s">
        <v>53</v>
      </c>
      <c r="H7" s="37"/>
      <c r="I7" s="95" t="s">
        <v>54</v>
      </c>
      <c r="J7" s="95" t="s">
        <v>55</v>
      </c>
      <c r="K7" s="37"/>
      <c r="L7" s="37"/>
      <c r="M7" s="37"/>
      <c r="N7" s="37"/>
      <c r="O7" s="37"/>
      <c r="P7" s="37"/>
      <c r="Q7" s="37"/>
      <c r="R7" s="37"/>
      <c r="S7" s="37"/>
    </row>
    <row r="8" ht="19.2" customHeight="1" spans="1:19">
      <c r="A8" s="37"/>
      <c r="B8" s="37"/>
      <c r="C8" s="37"/>
      <c r="D8" s="97"/>
      <c r="E8" s="37"/>
      <c r="F8" s="37"/>
      <c r="G8" s="95" t="s">
        <v>56</v>
      </c>
      <c r="H8" s="37"/>
      <c r="I8" s="95" t="s">
        <v>57</v>
      </c>
      <c r="J8" s="37"/>
      <c r="K8" s="37"/>
      <c r="L8" s="37"/>
      <c r="M8" s="37"/>
      <c r="N8" s="37"/>
      <c r="O8" s="37"/>
      <c r="P8" s="37"/>
      <c r="Q8" s="37"/>
      <c r="R8" s="37"/>
      <c r="S8" s="37"/>
    </row>
    <row r="9" ht="67.2" customHeight="1" spans="1:19">
      <c r="A9" s="37" t="s">
        <v>19</v>
      </c>
      <c r="B9" s="37" t="s">
        <v>20</v>
      </c>
      <c r="C9" s="33" t="s">
        <v>58</v>
      </c>
      <c r="D9" s="97" t="str">
        <f t="shared" ref="D9:D15" si="0">E9&amp;"_"&amp;F9&amp;G9&amp;H9&amp;I9&amp;J9&amp;K9&amp;L9&amp;"-"&amp;M9</f>
        <v>G_T5YZH60WPSC-M</v>
      </c>
      <c r="E9" s="95" t="s">
        <v>59</v>
      </c>
      <c r="F9" s="95" t="s">
        <v>60</v>
      </c>
      <c r="G9" s="95" t="s">
        <v>61</v>
      </c>
      <c r="H9" s="37">
        <v>60</v>
      </c>
      <c r="I9" s="95" t="s">
        <v>62</v>
      </c>
      <c r="J9" s="95" t="s">
        <v>63</v>
      </c>
      <c r="K9" s="95" t="s">
        <v>64</v>
      </c>
      <c r="L9" s="95" t="s">
        <v>65</v>
      </c>
      <c r="M9" s="95" t="s">
        <v>66</v>
      </c>
      <c r="N9" s="108" t="s">
        <v>67</v>
      </c>
      <c r="O9" s="109"/>
      <c r="P9" s="99" t="s">
        <v>68</v>
      </c>
      <c r="Q9" s="37">
        <v>1000</v>
      </c>
      <c r="R9" s="37" t="s">
        <v>69</v>
      </c>
      <c r="S9" s="37">
        <v>524</v>
      </c>
    </row>
    <row r="10" ht="27" spans="1:19">
      <c r="A10" s="37" t="s">
        <v>19</v>
      </c>
      <c r="B10" s="37" t="s">
        <v>20</v>
      </c>
      <c r="C10" s="33" t="s">
        <v>70</v>
      </c>
      <c r="D10" s="97" t="str">
        <f t="shared" si="0"/>
        <v>G_T7PBY10WPSC-P</v>
      </c>
      <c r="E10" s="95" t="s">
        <v>59</v>
      </c>
      <c r="F10" s="95" t="s">
        <v>71</v>
      </c>
      <c r="G10" s="95" t="s">
        <v>72</v>
      </c>
      <c r="H10" s="37">
        <v>10</v>
      </c>
      <c r="I10" s="95" t="s">
        <v>62</v>
      </c>
      <c r="J10" s="95" t="s">
        <v>63</v>
      </c>
      <c r="K10" s="95" t="s">
        <v>64</v>
      </c>
      <c r="L10" s="95" t="s">
        <v>65</v>
      </c>
      <c r="M10" s="95" t="s">
        <v>63</v>
      </c>
      <c r="N10" s="33" t="s">
        <v>73</v>
      </c>
      <c r="O10" s="109"/>
      <c r="P10" s="99" t="s">
        <v>74</v>
      </c>
      <c r="Q10" s="37">
        <v>500</v>
      </c>
      <c r="R10" s="37" t="s">
        <v>69</v>
      </c>
      <c r="S10" s="37">
        <v>844</v>
      </c>
    </row>
    <row r="11" ht="27" spans="1:19">
      <c r="A11" s="37" t="s">
        <v>19</v>
      </c>
      <c r="B11" s="37" t="s">
        <v>20</v>
      </c>
      <c r="C11" s="33" t="s">
        <v>75</v>
      </c>
      <c r="D11" s="97" t="str">
        <f t="shared" si="0"/>
        <v>G_T7YZH10WPSC-P</v>
      </c>
      <c r="E11" s="95" t="s">
        <v>59</v>
      </c>
      <c r="F11" s="95" t="s">
        <v>71</v>
      </c>
      <c r="G11" s="95" t="s">
        <v>61</v>
      </c>
      <c r="H11" s="37">
        <v>10</v>
      </c>
      <c r="I11" s="95" t="s">
        <v>62</v>
      </c>
      <c r="J11" s="95" t="s">
        <v>63</v>
      </c>
      <c r="K11" s="95" t="s">
        <v>64</v>
      </c>
      <c r="L11" s="95" t="s">
        <v>65</v>
      </c>
      <c r="M11" s="95" t="s">
        <v>63</v>
      </c>
      <c r="N11" s="108" t="s">
        <v>73</v>
      </c>
      <c r="O11" s="109"/>
      <c r="P11" s="99" t="s">
        <v>74</v>
      </c>
      <c r="Q11" s="37">
        <v>500</v>
      </c>
      <c r="R11" s="37" t="s">
        <v>69</v>
      </c>
      <c r="S11" s="37">
        <v>844</v>
      </c>
    </row>
    <row r="12" ht="31" customHeight="1" spans="1:19">
      <c r="A12" s="37" t="s">
        <v>19</v>
      </c>
      <c r="B12" s="37" t="s">
        <v>20</v>
      </c>
      <c r="C12" s="33" t="s">
        <v>76</v>
      </c>
      <c r="D12" s="97" t="str">
        <f t="shared" si="0"/>
        <v>G_M3YZH10WPSC-M</v>
      </c>
      <c r="E12" s="95" t="s">
        <v>59</v>
      </c>
      <c r="F12" s="95" t="s">
        <v>77</v>
      </c>
      <c r="G12" s="95" t="s">
        <v>61</v>
      </c>
      <c r="H12" s="37">
        <v>10</v>
      </c>
      <c r="I12" s="95" t="s">
        <v>62</v>
      </c>
      <c r="J12" s="95" t="s">
        <v>63</v>
      </c>
      <c r="K12" s="95" t="s">
        <v>64</v>
      </c>
      <c r="L12" s="95" t="s">
        <v>65</v>
      </c>
      <c r="M12" s="95" t="s">
        <v>66</v>
      </c>
      <c r="N12" s="34" t="s">
        <v>78</v>
      </c>
      <c r="O12" s="109"/>
      <c r="P12" s="99" t="s">
        <v>79</v>
      </c>
      <c r="Q12" s="37">
        <v>1000</v>
      </c>
      <c r="R12" s="37" t="s">
        <v>80</v>
      </c>
      <c r="S12" s="37">
        <v>342</v>
      </c>
    </row>
    <row r="13" ht="33" customHeight="1" spans="1:19">
      <c r="A13" s="37" t="s">
        <v>19</v>
      </c>
      <c r="B13" s="37" t="s">
        <v>20</v>
      </c>
      <c r="C13" s="33" t="s">
        <v>81</v>
      </c>
      <c r="D13" s="97" t="str">
        <f t="shared" si="0"/>
        <v>G_M3MKJ10WPSC-M</v>
      </c>
      <c r="E13" s="95" t="s">
        <v>59</v>
      </c>
      <c r="F13" s="95" t="s">
        <v>77</v>
      </c>
      <c r="G13" s="95" t="s">
        <v>82</v>
      </c>
      <c r="H13" s="37">
        <v>10</v>
      </c>
      <c r="I13" s="95" t="s">
        <v>62</v>
      </c>
      <c r="J13" s="95" t="s">
        <v>63</v>
      </c>
      <c r="K13" s="95" t="s">
        <v>64</v>
      </c>
      <c r="L13" s="95" t="s">
        <v>65</v>
      </c>
      <c r="M13" s="95" t="s">
        <v>66</v>
      </c>
      <c r="N13" s="34" t="s">
        <v>78</v>
      </c>
      <c r="O13" s="109"/>
      <c r="P13" s="99" t="s">
        <v>79</v>
      </c>
      <c r="Q13" s="37">
        <v>1000</v>
      </c>
      <c r="R13" s="37" t="s">
        <v>80</v>
      </c>
      <c r="S13" s="37">
        <v>342</v>
      </c>
    </row>
    <row r="14" ht="27" spans="1:19">
      <c r="A14" s="37" t="s">
        <v>19</v>
      </c>
      <c r="B14" s="37" t="s">
        <v>20</v>
      </c>
      <c r="C14" s="38" t="s">
        <v>83</v>
      </c>
      <c r="D14" s="97" t="str">
        <f>E14&amp;"_"&amp;F14&amp;G14&amp;H14&amp;I14&amp;J14&amp;K14&amp;L14</f>
        <v>G_G3YZH10WPSC</v>
      </c>
      <c r="E14" s="95" t="s">
        <v>59</v>
      </c>
      <c r="F14" s="95" t="s">
        <v>84</v>
      </c>
      <c r="G14" s="95" t="s">
        <v>61</v>
      </c>
      <c r="H14" s="37">
        <v>10</v>
      </c>
      <c r="I14" s="95" t="s">
        <v>62</v>
      </c>
      <c r="J14" s="95" t="s">
        <v>63</v>
      </c>
      <c r="K14" s="95" t="s">
        <v>64</v>
      </c>
      <c r="L14" s="95" t="s">
        <v>65</v>
      </c>
      <c r="M14" s="95"/>
      <c r="N14" s="38" t="s">
        <v>85</v>
      </c>
      <c r="O14" s="109"/>
      <c r="P14" s="99" t="s">
        <v>86</v>
      </c>
      <c r="Q14" s="37">
        <v>500</v>
      </c>
      <c r="R14" s="37" t="s">
        <v>87</v>
      </c>
      <c r="S14" s="37">
        <v>237.73</v>
      </c>
    </row>
    <row r="15" ht="40.8" customHeight="1" spans="1:19">
      <c r="A15" s="37" t="s">
        <v>19</v>
      </c>
      <c r="B15" s="37" t="s">
        <v>20</v>
      </c>
      <c r="C15" s="38" t="s">
        <v>88</v>
      </c>
      <c r="D15" s="97" t="str">
        <f t="shared" si="0"/>
        <v>G_T2YZH60WPSC-M</v>
      </c>
      <c r="E15" s="95" t="s">
        <v>59</v>
      </c>
      <c r="F15" s="95" t="s">
        <v>89</v>
      </c>
      <c r="G15" s="95" t="s">
        <v>61</v>
      </c>
      <c r="H15" s="37">
        <v>60</v>
      </c>
      <c r="I15" s="95" t="s">
        <v>62</v>
      </c>
      <c r="J15" s="95" t="s">
        <v>63</v>
      </c>
      <c r="K15" s="95" t="s">
        <v>64</v>
      </c>
      <c r="L15" s="95" t="s">
        <v>65</v>
      </c>
      <c r="M15" s="95" t="s">
        <v>66</v>
      </c>
      <c r="N15" s="38" t="s">
        <v>90</v>
      </c>
      <c r="O15" s="109"/>
      <c r="P15" s="99" t="s">
        <v>91</v>
      </c>
      <c r="Q15" s="37">
        <v>1000</v>
      </c>
      <c r="R15" s="37" t="s">
        <v>92</v>
      </c>
      <c r="S15" s="37">
        <v>460</v>
      </c>
    </row>
    <row r="16" ht="30" customHeight="1" spans="1:19">
      <c r="A16" s="37" t="s">
        <v>19</v>
      </c>
      <c r="B16" s="37" t="s">
        <v>20</v>
      </c>
      <c r="C16" s="38" t="s">
        <v>93</v>
      </c>
      <c r="D16" s="97" t="str">
        <f>E16&amp;"_"&amp;F16&amp;G16&amp;H16&amp;I16&amp;J16&amp;K16&amp;L16</f>
        <v>G_G2YZH60WPSC</v>
      </c>
      <c r="E16" s="95" t="s">
        <v>59</v>
      </c>
      <c r="F16" s="95" t="s">
        <v>94</v>
      </c>
      <c r="G16" s="95" t="s">
        <v>61</v>
      </c>
      <c r="H16" s="37">
        <v>60</v>
      </c>
      <c r="I16" s="95" t="s">
        <v>62</v>
      </c>
      <c r="J16" s="95" t="s">
        <v>63</v>
      </c>
      <c r="K16" s="95" t="s">
        <v>64</v>
      </c>
      <c r="L16" s="95" t="s">
        <v>65</v>
      </c>
      <c r="M16" s="95"/>
      <c r="N16" s="41" t="s">
        <v>95</v>
      </c>
      <c r="O16" s="109"/>
      <c r="P16" s="95" t="s">
        <v>96</v>
      </c>
      <c r="Q16" s="37">
        <v>1000</v>
      </c>
      <c r="R16" s="37" t="s">
        <v>92</v>
      </c>
      <c r="S16" s="37">
        <v>228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zoomScale="70" zoomScaleNormal="70" topLeftCell="A9" workbookViewId="0">
      <selection activeCell="R25" sqref="R25"/>
    </sheetView>
  </sheetViews>
  <sheetFormatPr defaultColWidth="9" defaultRowHeight="13.5"/>
  <cols>
    <col min="1" max="2" width="9" style="5"/>
    <col min="3" max="3" width="15.1083333333333" style="5" customWidth="1"/>
    <col min="4" max="4" width="20.5583333333333" style="94" customWidth="1"/>
    <col min="5" max="5" width="13.925" style="5" customWidth="1"/>
    <col min="6" max="6" width="8.88333333333333" style="5" customWidth="1"/>
    <col min="7" max="7" width="11.8833333333333" style="5" customWidth="1"/>
    <col min="8" max="8" width="9.66666666666667" style="5" customWidth="1"/>
    <col min="9" max="9" width="12.775" style="5" customWidth="1"/>
    <col min="10" max="10" width="11.6666666666667" style="5" customWidth="1"/>
    <col min="11" max="11" width="11" style="5" customWidth="1"/>
    <col min="12" max="12" width="11.3333333333333" style="5" customWidth="1"/>
    <col min="13" max="13" width="21.5583333333333" style="5" customWidth="1"/>
    <col min="14" max="14" width="21.9583333333333" style="5" customWidth="1"/>
    <col min="15" max="15" width="41.2166666666667" style="5" customWidth="1"/>
    <col min="16" max="16" width="29.6666666666667" style="5" customWidth="1"/>
    <col min="17" max="17" width="13.5666666666667" style="5" customWidth="1"/>
    <col min="18" max="18" width="26.0666666666667" style="5" customWidth="1"/>
    <col min="19" max="19" width="13.3833333333333" style="5" customWidth="1"/>
    <col min="20" max="16384" width="9" style="5"/>
  </cols>
  <sheetData>
    <row r="1" ht="22.5" customHeight="1" spans="1:19">
      <c r="A1" s="95" t="s">
        <v>0</v>
      </c>
      <c r="B1" s="95" t="s">
        <v>1</v>
      </c>
      <c r="C1" s="95" t="s">
        <v>2</v>
      </c>
      <c r="D1" s="96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97</v>
      </c>
      <c r="O1" s="95" t="s">
        <v>98</v>
      </c>
      <c r="P1" s="95" t="s">
        <v>15</v>
      </c>
      <c r="Q1" s="95" t="s">
        <v>16</v>
      </c>
      <c r="R1" s="95" t="s">
        <v>17</v>
      </c>
      <c r="S1" s="95" t="s">
        <v>18</v>
      </c>
    </row>
    <row r="2" ht="17.1" customHeight="1" spans="1:19">
      <c r="A2" s="37" t="s">
        <v>19</v>
      </c>
      <c r="B2" s="37" t="s">
        <v>20</v>
      </c>
      <c r="C2" s="37"/>
      <c r="D2" s="97"/>
      <c r="E2" s="95" t="s">
        <v>21</v>
      </c>
      <c r="F2" s="37" t="s">
        <v>22</v>
      </c>
      <c r="G2" s="95" t="s">
        <v>23</v>
      </c>
      <c r="H2" s="95" t="s">
        <v>24</v>
      </c>
      <c r="I2" s="37" t="s">
        <v>25</v>
      </c>
      <c r="J2" s="95" t="s">
        <v>26</v>
      </c>
      <c r="K2" s="95" t="s">
        <v>27</v>
      </c>
      <c r="L2" s="95" t="s">
        <v>28</v>
      </c>
      <c r="M2" s="95" t="s">
        <v>29</v>
      </c>
      <c r="N2" s="37"/>
      <c r="O2" s="37"/>
      <c r="P2" s="37"/>
      <c r="Q2" s="37"/>
      <c r="R2" s="37"/>
      <c r="S2" s="37"/>
    </row>
    <row r="3" ht="27.9" customHeight="1" spans="1:19">
      <c r="A3" s="37"/>
      <c r="B3" s="37" t="s">
        <v>30</v>
      </c>
      <c r="C3" s="37"/>
      <c r="D3" s="97"/>
      <c r="E3" s="95" t="s">
        <v>31</v>
      </c>
      <c r="F3" s="37"/>
      <c r="G3" s="95" t="s">
        <v>32</v>
      </c>
      <c r="H3" s="95" t="s">
        <v>33</v>
      </c>
      <c r="I3" s="95" t="s">
        <v>34</v>
      </c>
      <c r="J3" s="95" t="s">
        <v>35</v>
      </c>
      <c r="K3" s="95" t="s">
        <v>36</v>
      </c>
      <c r="L3" s="95" t="s">
        <v>37</v>
      </c>
      <c r="M3" s="95" t="s">
        <v>38</v>
      </c>
      <c r="N3" s="37"/>
      <c r="O3" s="37"/>
      <c r="P3" s="37"/>
      <c r="Q3" s="37"/>
      <c r="R3" s="37"/>
      <c r="S3" s="37"/>
    </row>
    <row r="4" ht="19.2" customHeight="1" spans="1:19">
      <c r="A4" s="37"/>
      <c r="B4" s="37"/>
      <c r="C4" s="37"/>
      <c r="D4" s="97"/>
      <c r="E4" s="95" t="s">
        <v>39</v>
      </c>
      <c r="F4" s="37"/>
      <c r="G4" s="95" t="s">
        <v>40</v>
      </c>
      <c r="H4" s="95" t="s">
        <v>41</v>
      </c>
      <c r="I4" s="95" t="s">
        <v>42</v>
      </c>
      <c r="J4" s="95" t="s">
        <v>43</v>
      </c>
      <c r="K4" s="95" t="s">
        <v>44</v>
      </c>
      <c r="L4" s="95" t="s">
        <v>45</v>
      </c>
      <c r="M4" s="95" t="s">
        <v>46</v>
      </c>
      <c r="N4" s="37"/>
      <c r="O4" s="37"/>
      <c r="P4" s="37"/>
      <c r="Q4" s="37"/>
      <c r="R4" s="37"/>
      <c r="S4" s="37"/>
    </row>
    <row r="5" ht="19.2" customHeight="1" spans="1:19">
      <c r="A5" s="37"/>
      <c r="B5" s="37"/>
      <c r="C5" s="37"/>
      <c r="D5" s="97"/>
      <c r="E5" s="95"/>
      <c r="F5" s="37"/>
      <c r="G5" s="95" t="s">
        <v>47</v>
      </c>
      <c r="H5" s="95" t="s">
        <v>48</v>
      </c>
      <c r="I5" s="95"/>
      <c r="J5" s="95"/>
      <c r="K5" s="95"/>
      <c r="L5" s="95"/>
      <c r="M5" s="95"/>
      <c r="N5" s="37"/>
      <c r="O5" s="37"/>
      <c r="P5" s="37"/>
      <c r="Q5" s="37"/>
      <c r="R5" s="37"/>
      <c r="S5" s="37"/>
    </row>
    <row r="6" ht="19.2" customHeight="1" spans="1:19">
      <c r="A6" s="37"/>
      <c r="B6" s="37"/>
      <c r="C6" s="37"/>
      <c r="D6" s="97"/>
      <c r="E6" s="37"/>
      <c r="F6" s="37"/>
      <c r="G6" s="95" t="s">
        <v>49</v>
      </c>
      <c r="H6" s="95" t="s">
        <v>50</v>
      </c>
      <c r="I6" s="95" t="s">
        <v>51</v>
      </c>
      <c r="J6" s="95" t="s">
        <v>52</v>
      </c>
      <c r="K6" s="37"/>
      <c r="L6" s="37"/>
      <c r="M6" s="37"/>
      <c r="N6" s="37"/>
      <c r="O6" s="37"/>
      <c r="P6" s="37"/>
      <c r="Q6" s="37"/>
      <c r="R6" s="37"/>
      <c r="S6" s="37"/>
    </row>
    <row r="7" ht="19.2" customHeight="1" spans="1:19">
      <c r="A7" s="37"/>
      <c r="B7" s="37"/>
      <c r="C7" s="37"/>
      <c r="D7" s="97"/>
      <c r="E7" s="37"/>
      <c r="F7" s="37"/>
      <c r="G7" s="95" t="s">
        <v>53</v>
      </c>
      <c r="H7" s="37"/>
      <c r="I7" s="95" t="s">
        <v>54</v>
      </c>
      <c r="J7" s="95" t="s">
        <v>55</v>
      </c>
      <c r="K7" s="37"/>
      <c r="L7" s="37"/>
      <c r="M7" s="37"/>
      <c r="N7" s="37"/>
      <c r="O7" s="37"/>
      <c r="P7" s="37"/>
      <c r="Q7" s="37"/>
      <c r="R7" s="37"/>
      <c r="S7" s="37"/>
    </row>
    <row r="8" ht="19.2" customHeight="1" spans="1:19">
      <c r="A8" s="37"/>
      <c r="B8" s="37"/>
      <c r="C8" s="37"/>
      <c r="D8" s="97"/>
      <c r="E8" s="37"/>
      <c r="F8" s="37"/>
      <c r="G8" s="95" t="s">
        <v>56</v>
      </c>
      <c r="H8" s="37"/>
      <c r="I8" s="95" t="s">
        <v>57</v>
      </c>
      <c r="J8" s="37"/>
      <c r="K8" s="37"/>
      <c r="L8" s="37"/>
      <c r="M8" s="37"/>
      <c r="N8" s="37"/>
      <c r="O8" s="37"/>
      <c r="P8" s="37"/>
      <c r="Q8" s="37"/>
      <c r="R8" s="37"/>
      <c r="S8" s="37"/>
    </row>
    <row r="9" ht="61.8" customHeight="1" spans="1:19">
      <c r="A9" s="37" t="s">
        <v>19</v>
      </c>
      <c r="B9" s="37" t="s">
        <v>20</v>
      </c>
      <c r="C9" s="58" t="s">
        <v>99</v>
      </c>
      <c r="D9" s="97" t="str">
        <f>E9&amp;"_"&amp;F9&amp;G9&amp;H9&amp;I9&amp;J9&amp;K9&amp;L9</f>
        <v>BR_A71YZH60WPSE</v>
      </c>
      <c r="E9" s="95" t="s">
        <v>100</v>
      </c>
      <c r="F9" s="38" t="s">
        <v>101</v>
      </c>
      <c r="G9" s="95" t="s">
        <v>61</v>
      </c>
      <c r="H9" s="37">
        <v>60</v>
      </c>
      <c r="I9" s="95" t="s">
        <v>62</v>
      </c>
      <c r="J9" s="95" t="s">
        <v>63</v>
      </c>
      <c r="K9" s="95" t="s">
        <v>64</v>
      </c>
      <c r="L9" s="95" t="s">
        <v>102</v>
      </c>
      <c r="M9" s="95"/>
      <c r="N9" s="38" t="s">
        <v>101</v>
      </c>
      <c r="O9" s="98" t="s">
        <v>103</v>
      </c>
      <c r="P9" s="99" t="s">
        <v>104</v>
      </c>
      <c r="Q9" s="37">
        <v>1000</v>
      </c>
      <c r="R9" s="37" t="s">
        <v>92</v>
      </c>
      <c r="S9" s="37">
        <v>460</v>
      </c>
    </row>
    <row r="10" ht="61.8" customHeight="1" spans="1:19">
      <c r="A10" s="37" t="s">
        <v>19</v>
      </c>
      <c r="B10" s="37" t="s">
        <v>20</v>
      </c>
      <c r="C10" s="58" t="s">
        <v>105</v>
      </c>
      <c r="D10" s="97" t="str">
        <f t="shared" ref="D10:D17" si="0">E10&amp;"_"&amp;F10&amp;G10&amp;H10&amp;I10&amp;J10&amp;K10&amp;L10</f>
        <v>BR_G2YZH60WPSE</v>
      </c>
      <c r="E10" s="95" t="s">
        <v>100</v>
      </c>
      <c r="F10" s="100" t="s">
        <v>106</v>
      </c>
      <c r="G10" s="95" t="s">
        <v>61</v>
      </c>
      <c r="H10" s="37">
        <v>60</v>
      </c>
      <c r="I10" s="95" t="s">
        <v>62</v>
      </c>
      <c r="J10" s="95" t="s">
        <v>63</v>
      </c>
      <c r="K10" s="95" t="s">
        <v>64</v>
      </c>
      <c r="L10" s="95" t="s">
        <v>102</v>
      </c>
      <c r="M10" s="95"/>
      <c r="N10" s="38" t="s">
        <v>107</v>
      </c>
      <c r="O10" s="98" t="s">
        <v>108</v>
      </c>
      <c r="P10" s="99" t="s">
        <v>109</v>
      </c>
      <c r="Q10" s="37">
        <v>1000</v>
      </c>
      <c r="R10" s="37" t="s">
        <v>92</v>
      </c>
      <c r="S10" s="37">
        <v>185</v>
      </c>
    </row>
    <row r="11" ht="61.8" customHeight="1" spans="1:19">
      <c r="A11" s="37" t="s">
        <v>19</v>
      </c>
      <c r="B11" s="37" t="s">
        <v>20</v>
      </c>
      <c r="C11" s="101" t="s">
        <v>110</v>
      </c>
      <c r="D11" s="97" t="str">
        <f t="shared" si="0"/>
        <v>BR_P90YZH60WPSE</v>
      </c>
      <c r="E11" s="95" t="s">
        <v>100</v>
      </c>
      <c r="F11" s="61" t="s">
        <v>111</v>
      </c>
      <c r="G11" s="95" t="s">
        <v>61</v>
      </c>
      <c r="H11" s="37">
        <v>60</v>
      </c>
      <c r="I11" s="95" t="s">
        <v>62</v>
      </c>
      <c r="J11" s="95" t="s">
        <v>63</v>
      </c>
      <c r="K11" s="95" t="s">
        <v>64</v>
      </c>
      <c r="L11" s="95" t="s">
        <v>102</v>
      </c>
      <c r="M11" s="95"/>
      <c r="N11" s="102" t="s">
        <v>112</v>
      </c>
      <c r="O11" s="98" t="s">
        <v>113</v>
      </c>
      <c r="P11" s="99" t="s">
        <v>74</v>
      </c>
      <c r="Q11" s="37">
        <v>500</v>
      </c>
      <c r="R11" s="37" t="s">
        <v>87</v>
      </c>
      <c r="S11" s="37">
        <v>870.2</v>
      </c>
    </row>
    <row r="12" ht="61.8" customHeight="1" spans="1:19">
      <c r="A12" s="37" t="s">
        <v>19</v>
      </c>
      <c r="B12" s="37" t="s">
        <v>20</v>
      </c>
      <c r="C12" s="101" t="s">
        <v>114</v>
      </c>
      <c r="D12" s="97" t="str">
        <f t="shared" si="0"/>
        <v>BR_P90FGJ60WPSE</v>
      </c>
      <c r="E12" s="95" t="s">
        <v>100</v>
      </c>
      <c r="F12" s="61" t="s">
        <v>111</v>
      </c>
      <c r="G12" s="95" t="s">
        <v>115</v>
      </c>
      <c r="H12" s="37">
        <v>60</v>
      </c>
      <c r="I12" s="95" t="s">
        <v>62</v>
      </c>
      <c r="J12" s="95" t="s">
        <v>63</v>
      </c>
      <c r="K12" s="95" t="s">
        <v>64</v>
      </c>
      <c r="L12" s="95" t="s">
        <v>102</v>
      </c>
      <c r="M12" s="95"/>
      <c r="N12" s="102" t="s">
        <v>112</v>
      </c>
      <c r="O12" s="98" t="s">
        <v>116</v>
      </c>
      <c r="P12" s="99" t="s">
        <v>74</v>
      </c>
      <c r="Q12" s="37">
        <v>500</v>
      </c>
      <c r="R12" s="37" t="s">
        <v>87</v>
      </c>
      <c r="S12" s="37">
        <v>942.8</v>
      </c>
    </row>
    <row r="13" ht="61.8" customHeight="1" spans="1:19">
      <c r="A13" s="37" t="s">
        <v>19</v>
      </c>
      <c r="B13" s="37" t="s">
        <v>20</v>
      </c>
      <c r="C13" s="60" t="s">
        <v>117</v>
      </c>
      <c r="D13" s="97" t="str">
        <f t="shared" si="0"/>
        <v>BR_D51YZH60WPSS</v>
      </c>
      <c r="E13" s="95" t="s">
        <v>100</v>
      </c>
      <c r="F13" s="62" t="s">
        <v>22</v>
      </c>
      <c r="G13" s="95" t="s">
        <v>61</v>
      </c>
      <c r="H13" s="37">
        <v>60</v>
      </c>
      <c r="I13" s="95" t="s">
        <v>62</v>
      </c>
      <c r="J13" s="95" t="s">
        <v>63</v>
      </c>
      <c r="K13" s="95" t="s">
        <v>64</v>
      </c>
      <c r="L13" s="95" t="s">
        <v>64</v>
      </c>
      <c r="M13" s="95"/>
      <c r="N13" s="102" t="s">
        <v>118</v>
      </c>
      <c r="O13" s="98" t="s">
        <v>119</v>
      </c>
      <c r="P13" s="99" t="s">
        <v>109</v>
      </c>
      <c r="Q13" s="37">
        <v>500</v>
      </c>
      <c r="R13" s="37" t="s">
        <v>87</v>
      </c>
      <c r="S13" s="37">
        <v>237.73</v>
      </c>
    </row>
    <row r="14" ht="77.4" customHeight="1" spans="1:19">
      <c r="A14" s="37" t="s">
        <v>19</v>
      </c>
      <c r="B14" s="37" t="s">
        <v>20</v>
      </c>
      <c r="C14" s="103" t="s">
        <v>120</v>
      </c>
      <c r="D14" s="97" t="str">
        <f t="shared" si="0"/>
        <v>BR_D51YZH70WPSE</v>
      </c>
      <c r="E14" s="95" t="s">
        <v>100</v>
      </c>
      <c r="F14" s="61" t="s">
        <v>22</v>
      </c>
      <c r="G14" s="95" t="s">
        <v>61</v>
      </c>
      <c r="H14" s="37">
        <v>70</v>
      </c>
      <c r="I14" s="95" t="s">
        <v>62</v>
      </c>
      <c r="J14" s="95" t="s">
        <v>63</v>
      </c>
      <c r="K14" s="95" t="s">
        <v>64</v>
      </c>
      <c r="L14" s="95" t="s">
        <v>102</v>
      </c>
      <c r="M14" s="95"/>
      <c r="N14" s="102" t="s">
        <v>118</v>
      </c>
      <c r="O14" s="98" t="s">
        <v>121</v>
      </c>
      <c r="P14" s="99" t="s">
        <v>109</v>
      </c>
      <c r="Q14" s="37">
        <v>500</v>
      </c>
      <c r="R14" s="37" t="s">
        <v>87</v>
      </c>
      <c r="S14" s="37">
        <v>237.73</v>
      </c>
    </row>
    <row r="15" ht="61.8" customHeight="1" spans="1:19">
      <c r="A15" s="37" t="s">
        <v>19</v>
      </c>
      <c r="B15" s="37" t="s">
        <v>20</v>
      </c>
      <c r="C15" s="103" t="s">
        <v>120</v>
      </c>
      <c r="D15" s="97" t="str">
        <f t="shared" si="0"/>
        <v>BR_D51YZH70WPSS</v>
      </c>
      <c r="E15" s="95" t="s">
        <v>100</v>
      </c>
      <c r="F15" s="102" t="s">
        <v>122</v>
      </c>
      <c r="G15" s="95" t="s">
        <v>61</v>
      </c>
      <c r="H15" s="37">
        <v>70</v>
      </c>
      <c r="I15" s="95" t="s">
        <v>62</v>
      </c>
      <c r="J15" s="95" t="s">
        <v>63</v>
      </c>
      <c r="K15" s="95" t="s">
        <v>64</v>
      </c>
      <c r="L15" s="95" t="s">
        <v>64</v>
      </c>
      <c r="M15" s="95"/>
      <c r="N15" s="102" t="s">
        <v>123</v>
      </c>
      <c r="O15" s="98" t="s">
        <v>124</v>
      </c>
      <c r="P15" s="99" t="s">
        <v>109</v>
      </c>
      <c r="Q15" s="37">
        <v>500</v>
      </c>
      <c r="R15" s="37" t="s">
        <v>87</v>
      </c>
      <c r="S15" s="37">
        <v>237.73</v>
      </c>
    </row>
    <row r="16" ht="61.8" customHeight="1" spans="1:19">
      <c r="A16" s="37" t="s">
        <v>19</v>
      </c>
      <c r="B16" s="37" t="s">
        <v>20</v>
      </c>
      <c r="C16" s="69" t="s">
        <v>125</v>
      </c>
      <c r="D16" s="97" t="str">
        <f t="shared" si="0"/>
        <v>BR_S70HGT60WPSE</v>
      </c>
      <c r="E16" s="95" t="s">
        <v>100</v>
      </c>
      <c r="F16" s="70" t="s">
        <v>126</v>
      </c>
      <c r="G16" s="95" t="s">
        <v>127</v>
      </c>
      <c r="H16" s="37">
        <v>60</v>
      </c>
      <c r="I16" s="95" t="s">
        <v>62</v>
      </c>
      <c r="J16" s="95" t="s">
        <v>63</v>
      </c>
      <c r="K16" s="95" t="s">
        <v>64</v>
      </c>
      <c r="L16" s="95" t="s">
        <v>102</v>
      </c>
      <c r="M16" s="95"/>
      <c r="N16" s="104" t="s">
        <v>128</v>
      </c>
      <c r="O16" s="98" t="s">
        <v>129</v>
      </c>
      <c r="P16" s="99" t="s">
        <v>130</v>
      </c>
      <c r="Q16" s="37">
        <v>1000</v>
      </c>
      <c r="R16" s="37" t="s">
        <v>131</v>
      </c>
      <c r="S16" s="37">
        <v>516</v>
      </c>
    </row>
    <row r="17" ht="48" spans="1:19">
      <c r="A17" s="37" t="s">
        <v>19</v>
      </c>
      <c r="B17" s="37" t="s">
        <v>20</v>
      </c>
      <c r="C17" s="105" t="s">
        <v>132</v>
      </c>
      <c r="D17" s="97" t="str">
        <f t="shared" si="0"/>
        <v>BR_C51YZH60WPSE</v>
      </c>
      <c r="E17" s="95" t="s">
        <v>100</v>
      </c>
      <c r="F17" s="70" t="s">
        <v>133</v>
      </c>
      <c r="G17" s="95" t="s">
        <v>61</v>
      </c>
      <c r="H17" s="37">
        <v>60</v>
      </c>
      <c r="I17" s="95" t="s">
        <v>62</v>
      </c>
      <c r="J17" s="95" t="s">
        <v>63</v>
      </c>
      <c r="K17" s="95" t="s">
        <v>64</v>
      </c>
      <c r="L17" s="95" t="s">
        <v>102</v>
      </c>
      <c r="M17" s="95"/>
      <c r="N17" s="104" t="s">
        <v>133</v>
      </c>
      <c r="O17" s="98" t="s">
        <v>134</v>
      </c>
      <c r="P17" s="99" t="s">
        <v>109</v>
      </c>
      <c r="Q17" s="37">
        <v>1000</v>
      </c>
      <c r="R17" s="37" t="s">
        <v>92</v>
      </c>
      <c r="S17" s="37">
        <v>233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Z106"/>
  <sheetViews>
    <sheetView zoomScale="85" zoomScaleNormal="85" workbookViewId="0">
      <pane ySplit="3" topLeftCell="A31" activePane="bottomLeft" state="frozen"/>
      <selection/>
      <selection pane="bottomLeft" activeCell="A12" sqref="$A5:$XFD12"/>
    </sheetView>
  </sheetViews>
  <sheetFormatPr defaultColWidth="9" defaultRowHeight="13.5"/>
  <cols>
    <col min="1" max="1" width="9" style="5"/>
    <col min="2" max="3" width="4.21666666666667" style="6" customWidth="1"/>
    <col min="4" max="4" width="11.8833333333333" style="6" customWidth="1"/>
    <col min="5" max="5" width="8.55833333333333" style="6" customWidth="1"/>
    <col min="6" max="6" width="23.1083333333333" style="7" customWidth="1"/>
    <col min="7" max="7" width="5.88333333333333" style="7" customWidth="1"/>
    <col min="8" max="8" width="8.55833333333333" style="6" customWidth="1"/>
    <col min="9" max="9" width="7.44166666666667" style="6" customWidth="1"/>
    <col min="10" max="10" width="4.775" style="6" customWidth="1"/>
    <col min="11" max="11" width="6.775" style="8" customWidth="1"/>
    <col min="12" max="12" width="8.775" style="8" customWidth="1"/>
    <col min="13" max="17" width="4.44166666666667" style="5" customWidth="1"/>
    <col min="18" max="18" width="4.775" style="5" customWidth="1"/>
    <col min="19" max="19" width="6.775" style="5" customWidth="1"/>
    <col min="20" max="20" width="9.10833333333333" style="5" customWidth="1"/>
    <col min="21" max="21" width="8.66666666666667" style="6" customWidth="1"/>
    <col min="22" max="22" width="6" style="6" customWidth="1"/>
    <col min="23" max="23" width="5.66666666666667" style="6" customWidth="1"/>
    <col min="24" max="24" width="6" style="6" customWidth="1"/>
    <col min="25" max="25" width="5.66666666666667" style="6" customWidth="1"/>
    <col min="26" max="51" width="5.33333333333333" style="6" customWidth="1"/>
    <col min="52" max="52" width="9" style="6" customWidth="1"/>
    <col min="53" max="16384" width="9" style="5"/>
  </cols>
  <sheetData>
    <row r="1" ht="22.5" customHeight="1" spans="1:52">
      <c r="B1" s="9" t="s">
        <v>135</v>
      </c>
      <c r="C1" s="10"/>
      <c r="D1" s="10"/>
      <c r="E1" s="10"/>
      <c r="F1" s="10"/>
      <c r="G1" s="10"/>
      <c r="H1" s="10"/>
      <c r="I1" s="10"/>
      <c r="J1" s="10"/>
      <c r="K1" s="11" t="s">
        <v>136</v>
      </c>
      <c r="L1" s="11"/>
      <c r="M1" s="11"/>
      <c r="N1" s="11"/>
      <c r="O1" s="11"/>
      <c r="P1" s="11"/>
      <c r="Q1" s="11"/>
      <c r="R1" s="12"/>
      <c r="S1" s="13" t="s">
        <v>137</v>
      </c>
      <c r="T1" s="13" t="s">
        <v>138</v>
      </c>
      <c r="U1" s="10">
        <v>2026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ht="17.1" customHeight="1" spans="1:52">
      <c r="B2" s="14" t="s">
        <v>139</v>
      </c>
      <c r="C2" s="14"/>
      <c r="D2" s="15" t="s">
        <v>140</v>
      </c>
      <c r="E2" s="14" t="s">
        <v>141</v>
      </c>
      <c r="F2" s="15" t="s">
        <v>15</v>
      </c>
      <c r="G2" s="15" t="s">
        <v>142</v>
      </c>
      <c r="H2" s="14" t="s">
        <v>143</v>
      </c>
      <c r="I2" s="14" t="s">
        <v>144</v>
      </c>
      <c r="J2" s="14" t="s">
        <v>145</v>
      </c>
      <c r="K2" s="16" t="s">
        <v>146</v>
      </c>
      <c r="L2" s="17" t="s">
        <v>147</v>
      </c>
      <c r="M2" s="18" t="s">
        <v>148</v>
      </c>
      <c r="N2" s="19"/>
      <c r="O2" s="19"/>
      <c r="P2" s="19"/>
      <c r="Q2" s="20"/>
      <c r="R2" s="16" t="s">
        <v>149</v>
      </c>
      <c r="S2" s="13"/>
      <c r="T2" s="13"/>
      <c r="U2" s="15" t="s">
        <v>150</v>
      </c>
      <c r="V2" s="110" t="s">
        <v>151</v>
      </c>
      <c r="W2" s="110" t="s">
        <v>152</v>
      </c>
      <c r="X2" s="110" t="s">
        <v>153</v>
      </c>
      <c r="Y2" s="110" t="s">
        <v>153</v>
      </c>
      <c r="Z2" s="110" t="s">
        <v>154</v>
      </c>
      <c r="AA2" s="110" t="s">
        <v>155</v>
      </c>
      <c r="AB2" s="110" t="s">
        <v>156</v>
      </c>
      <c r="AC2" s="110" t="s">
        <v>157</v>
      </c>
      <c r="AD2" s="110" t="s">
        <v>158</v>
      </c>
      <c r="AE2" s="110" t="s">
        <v>159</v>
      </c>
      <c r="AF2" s="110" t="s">
        <v>160</v>
      </c>
      <c r="AG2" s="110" t="s">
        <v>161</v>
      </c>
      <c r="AH2" s="110" t="s">
        <v>161</v>
      </c>
      <c r="AI2" s="110" t="s">
        <v>162</v>
      </c>
      <c r="AJ2" s="110" t="s">
        <v>162</v>
      </c>
      <c r="AK2" s="110" t="s">
        <v>163</v>
      </c>
      <c r="AL2" s="110" t="s">
        <v>164</v>
      </c>
      <c r="AM2" s="110" t="s">
        <v>164</v>
      </c>
      <c r="AN2" s="110" t="s">
        <v>165</v>
      </c>
      <c r="AO2" s="110" t="s">
        <v>166</v>
      </c>
      <c r="AP2" s="110" t="s">
        <v>166</v>
      </c>
      <c r="AQ2" s="110" t="s">
        <v>167</v>
      </c>
      <c r="AR2" s="110" t="s">
        <v>168</v>
      </c>
      <c r="AS2" s="110" t="s">
        <v>168</v>
      </c>
      <c r="AT2" s="110" t="s">
        <v>169</v>
      </c>
      <c r="AU2" s="110" t="s">
        <v>169</v>
      </c>
      <c r="AV2" s="110" t="s">
        <v>170</v>
      </c>
      <c r="AW2" s="110" t="s">
        <v>170</v>
      </c>
      <c r="AX2" s="110" t="s">
        <v>171</v>
      </c>
      <c r="AY2" s="110" t="s">
        <v>171</v>
      </c>
      <c r="AZ2" s="22"/>
    </row>
    <row r="3" ht="27.9" customHeight="1" spans="1:52"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5" t="s">
        <v>172</v>
      </c>
      <c r="N3" s="25" t="s">
        <v>173</v>
      </c>
      <c r="O3" s="26" t="s">
        <v>174</v>
      </c>
      <c r="P3" s="25" t="s">
        <v>175</v>
      </c>
      <c r="Q3" s="25" t="s">
        <v>176</v>
      </c>
      <c r="R3" s="27"/>
      <c r="S3" s="13"/>
      <c r="T3" s="13"/>
      <c r="U3" s="28"/>
      <c r="V3" s="21" t="s">
        <v>177</v>
      </c>
      <c r="W3" s="21" t="s">
        <v>178</v>
      </c>
      <c r="X3" s="21" t="s">
        <v>178</v>
      </c>
      <c r="Y3" s="21" t="s">
        <v>177</v>
      </c>
      <c r="Z3" s="21" t="s">
        <v>177</v>
      </c>
      <c r="AA3" s="21" t="s">
        <v>177</v>
      </c>
      <c r="AB3" s="21" t="s">
        <v>177</v>
      </c>
      <c r="AC3" s="21" t="s">
        <v>177</v>
      </c>
      <c r="AD3" s="21" t="s">
        <v>177</v>
      </c>
      <c r="AE3" s="21" t="s">
        <v>177</v>
      </c>
      <c r="AF3" s="21" t="s">
        <v>177</v>
      </c>
      <c r="AG3" s="21" t="s">
        <v>177</v>
      </c>
      <c r="AH3" s="21" t="s">
        <v>178</v>
      </c>
      <c r="AI3" s="21" t="s">
        <v>178</v>
      </c>
      <c r="AJ3" s="21" t="s">
        <v>177</v>
      </c>
      <c r="AK3" s="21" t="s">
        <v>177</v>
      </c>
      <c r="AL3" s="21" t="s">
        <v>178</v>
      </c>
      <c r="AM3" s="21" t="s">
        <v>177</v>
      </c>
      <c r="AN3" s="21" t="s">
        <v>177</v>
      </c>
      <c r="AO3" s="21" t="s">
        <v>177</v>
      </c>
      <c r="AP3" s="21" t="s">
        <v>178</v>
      </c>
      <c r="AQ3" s="21" t="s">
        <v>177</v>
      </c>
      <c r="AR3" s="21" t="s">
        <v>178</v>
      </c>
      <c r="AS3" s="21" t="s">
        <v>177</v>
      </c>
      <c r="AT3" s="21" t="s">
        <v>178</v>
      </c>
      <c r="AU3" s="21" t="s">
        <v>177</v>
      </c>
      <c r="AV3" s="21" t="s">
        <v>178</v>
      </c>
      <c r="AW3" s="21" t="s">
        <v>177</v>
      </c>
      <c r="AX3" s="21" t="s">
        <v>178</v>
      </c>
      <c r="AY3" s="21" t="s">
        <v>177</v>
      </c>
      <c r="AZ3" s="21" t="s">
        <v>177</v>
      </c>
    </row>
    <row r="4" s="1" customFormat="1" ht="22.95" customHeight="1" spans="1:52">
      <c r="A4" s="29" t="s">
        <v>179</v>
      </c>
      <c r="B4" s="30" t="s">
        <v>180</v>
      </c>
      <c r="C4" s="30"/>
      <c r="D4" s="30"/>
      <c r="E4" s="30"/>
      <c r="F4" s="30"/>
      <c r="G4" s="30"/>
      <c r="H4" s="30"/>
      <c r="I4" s="30"/>
      <c r="J4" s="30"/>
      <c r="K4" s="30">
        <f>SUM(K5:K12)</f>
        <v>119</v>
      </c>
      <c r="L4" s="30"/>
      <c r="M4" s="31"/>
      <c r="N4" s="31"/>
      <c r="O4" s="31"/>
      <c r="P4" s="31"/>
      <c r="Q4" s="31"/>
      <c r="R4" s="31"/>
      <c r="S4" s="32"/>
      <c r="T4" s="32"/>
      <c r="U4" s="30">
        <f>SUM(U5:U12)</f>
        <v>126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ht="67.5" spans="1:52">
      <c r="B5" s="33">
        <f>ROW()-4</f>
        <v>1</v>
      </c>
      <c r="C5" s="33"/>
      <c r="D5" s="33" t="s">
        <v>58</v>
      </c>
      <c r="E5" s="33" t="s">
        <v>67</v>
      </c>
      <c r="F5" s="34" t="s">
        <v>181</v>
      </c>
      <c r="G5" s="34"/>
      <c r="H5" s="33" t="s">
        <v>182</v>
      </c>
      <c r="I5" s="35"/>
      <c r="J5" s="33" t="s">
        <v>183</v>
      </c>
      <c r="K5" s="22">
        <f>U5-SUM(V5:AZ5)</f>
        <v>9</v>
      </c>
      <c r="L5" s="36">
        <f>K5+R5-SUM(M5:Q5)</f>
        <v>9</v>
      </c>
      <c r="M5" s="13"/>
      <c r="N5" s="13"/>
      <c r="O5" s="13"/>
      <c r="P5" s="13"/>
      <c r="Q5" s="13"/>
      <c r="R5" s="13"/>
      <c r="S5" s="37" t="s">
        <v>184</v>
      </c>
      <c r="T5" s="37"/>
      <c r="U5" s="22">
        <v>9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</row>
    <row r="6" ht="67.5" spans="1:52">
      <c r="B6" s="33">
        <f t="shared" ref="B6:B12" si="0">ROW()-4</f>
        <v>2</v>
      </c>
      <c r="C6" s="33"/>
      <c r="D6" s="33" t="s">
        <v>70</v>
      </c>
      <c r="E6" s="33" t="s">
        <v>73</v>
      </c>
      <c r="F6" s="34" t="s">
        <v>185</v>
      </c>
      <c r="G6" s="33"/>
      <c r="H6" s="34" t="s">
        <v>186</v>
      </c>
      <c r="I6" s="33"/>
      <c r="J6" s="33" t="s">
        <v>183</v>
      </c>
      <c r="K6" s="22">
        <f t="shared" ref="K6:K12" si="1">U6-SUM(V6:AZ6)</f>
        <v>6</v>
      </c>
      <c r="L6" s="36">
        <f t="shared" ref="L6:L12" si="2">K6+R6-SUM(M6:Q6)</f>
        <v>6</v>
      </c>
      <c r="M6" s="13"/>
      <c r="N6" s="13"/>
      <c r="O6" s="13"/>
      <c r="P6" s="13"/>
      <c r="Q6" s="13"/>
      <c r="R6" s="13"/>
      <c r="S6" s="37" t="s">
        <v>184</v>
      </c>
      <c r="T6" s="37" t="s">
        <v>187</v>
      </c>
      <c r="U6" s="22">
        <v>6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</row>
    <row r="7" ht="67.5" spans="1:52">
      <c r="B7" s="33">
        <f t="shared" si="0"/>
        <v>3</v>
      </c>
      <c r="C7" s="33"/>
      <c r="D7" s="33" t="s">
        <v>75</v>
      </c>
      <c r="E7" s="33" t="s">
        <v>73</v>
      </c>
      <c r="F7" s="34" t="s">
        <v>188</v>
      </c>
      <c r="G7" s="33"/>
      <c r="H7" s="33" t="s">
        <v>182</v>
      </c>
      <c r="I7" s="33"/>
      <c r="J7" s="33" t="s">
        <v>183</v>
      </c>
      <c r="K7" s="22">
        <f t="shared" si="1"/>
        <v>1</v>
      </c>
      <c r="L7" s="36">
        <f t="shared" si="2"/>
        <v>1</v>
      </c>
      <c r="M7" s="13"/>
      <c r="N7" s="13"/>
      <c r="O7" s="13"/>
      <c r="P7" s="13"/>
      <c r="Q7" s="13"/>
      <c r="R7" s="13"/>
      <c r="S7" s="37" t="s">
        <v>184</v>
      </c>
      <c r="T7" s="37"/>
      <c r="U7" s="22">
        <v>1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 ht="40.5" spans="1:52">
      <c r="B8" s="33">
        <f t="shared" si="0"/>
        <v>4</v>
      </c>
      <c r="C8" s="33"/>
      <c r="D8" s="33" t="s">
        <v>76</v>
      </c>
      <c r="E8" s="34" t="s">
        <v>78</v>
      </c>
      <c r="F8" s="34" t="s">
        <v>189</v>
      </c>
      <c r="G8" s="33"/>
      <c r="H8" s="33" t="s">
        <v>182</v>
      </c>
      <c r="I8" s="33"/>
      <c r="J8" s="33" t="s">
        <v>183</v>
      </c>
      <c r="K8" s="22">
        <f t="shared" si="1"/>
        <v>51</v>
      </c>
      <c r="L8" s="36">
        <f t="shared" si="2"/>
        <v>251</v>
      </c>
      <c r="M8" s="13"/>
      <c r="N8" s="13"/>
      <c r="O8" s="13"/>
      <c r="P8" s="13"/>
      <c r="Q8" s="13"/>
      <c r="R8" s="13">
        <v>200</v>
      </c>
      <c r="S8" s="37" t="s">
        <v>190</v>
      </c>
      <c r="T8" s="37"/>
      <c r="U8" s="22">
        <v>52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>
        <v>1</v>
      </c>
      <c r="AZ8" s="33"/>
    </row>
    <row r="9" ht="54" spans="1:52">
      <c r="B9" s="33">
        <f t="shared" si="0"/>
        <v>5</v>
      </c>
      <c r="C9" s="33"/>
      <c r="D9" s="33" t="s">
        <v>81</v>
      </c>
      <c r="E9" s="34" t="s">
        <v>78</v>
      </c>
      <c r="F9" s="34" t="s">
        <v>191</v>
      </c>
      <c r="G9" s="33"/>
      <c r="H9" s="33" t="s">
        <v>192</v>
      </c>
      <c r="I9" s="33"/>
      <c r="J9" s="33" t="s">
        <v>183</v>
      </c>
      <c r="K9" s="22">
        <f t="shared" si="1"/>
        <v>29</v>
      </c>
      <c r="L9" s="36">
        <f t="shared" si="2"/>
        <v>229</v>
      </c>
      <c r="M9" s="13"/>
      <c r="N9" s="13"/>
      <c r="O9" s="13"/>
      <c r="P9" s="13"/>
      <c r="Q9" s="13"/>
      <c r="R9" s="13">
        <v>200</v>
      </c>
      <c r="S9" s="37" t="s">
        <v>190</v>
      </c>
      <c r="T9" s="37"/>
      <c r="U9" s="22">
        <v>35</v>
      </c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>
        <v>6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</row>
    <row r="10" ht="81" spans="1:52">
      <c r="B10" s="33">
        <f t="shared" si="0"/>
        <v>6</v>
      </c>
      <c r="C10" s="33"/>
      <c r="D10" s="38" t="s">
        <v>83</v>
      </c>
      <c r="E10" s="38" t="s">
        <v>85</v>
      </c>
      <c r="F10" s="34" t="s">
        <v>193</v>
      </c>
      <c r="G10" s="39"/>
      <c r="H10" s="38" t="s">
        <v>182</v>
      </c>
      <c r="I10" s="38"/>
      <c r="J10" s="33" t="s">
        <v>183</v>
      </c>
      <c r="K10" s="22">
        <f t="shared" si="1"/>
        <v>0</v>
      </c>
      <c r="L10" s="36">
        <f t="shared" si="2"/>
        <v>0</v>
      </c>
      <c r="M10" s="13"/>
      <c r="N10" s="13"/>
      <c r="O10" s="13"/>
      <c r="P10" s="13"/>
      <c r="Q10" s="13"/>
      <c r="R10" s="13"/>
      <c r="S10" s="37" t="s">
        <v>194</v>
      </c>
      <c r="T10" s="37"/>
      <c r="U10" s="40">
        <v>0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ht="67.5" spans="1:52">
      <c r="B11" s="33">
        <f t="shared" si="0"/>
        <v>7</v>
      </c>
      <c r="C11" s="33"/>
      <c r="D11" s="38" t="s">
        <v>88</v>
      </c>
      <c r="E11" s="38" t="s">
        <v>90</v>
      </c>
      <c r="F11" s="34" t="s">
        <v>195</v>
      </c>
      <c r="G11" s="39"/>
      <c r="H11" s="38" t="s">
        <v>182</v>
      </c>
      <c r="I11" s="39" t="s">
        <v>196</v>
      </c>
      <c r="J11" s="33" t="s">
        <v>183</v>
      </c>
      <c r="K11" s="22">
        <f t="shared" si="1"/>
        <v>11</v>
      </c>
      <c r="L11" s="36">
        <f t="shared" si="2"/>
        <v>11</v>
      </c>
      <c r="M11" s="13"/>
      <c r="N11" s="13"/>
      <c r="O11" s="13"/>
      <c r="P11" s="13"/>
      <c r="Q11" s="13"/>
      <c r="R11" s="13"/>
      <c r="S11" s="37" t="s">
        <v>197</v>
      </c>
      <c r="T11" s="37"/>
      <c r="U11" s="40">
        <v>11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ht="67.5" spans="1:52">
      <c r="B12" s="33">
        <f t="shared" si="0"/>
        <v>8</v>
      </c>
      <c r="C12" s="33"/>
      <c r="D12" s="38" t="s">
        <v>93</v>
      </c>
      <c r="E12" s="41" t="s">
        <v>95</v>
      </c>
      <c r="F12" s="34" t="s">
        <v>198</v>
      </c>
      <c r="G12" s="39"/>
      <c r="H12" s="38" t="s">
        <v>182</v>
      </c>
      <c r="I12" s="39" t="s">
        <v>196</v>
      </c>
      <c r="J12" s="33" t="s">
        <v>183</v>
      </c>
      <c r="K12" s="22">
        <f t="shared" si="1"/>
        <v>12</v>
      </c>
      <c r="L12" s="36">
        <f t="shared" si="2"/>
        <v>12</v>
      </c>
      <c r="M12" s="13"/>
      <c r="N12" s="13"/>
      <c r="O12" s="13"/>
      <c r="P12" s="13"/>
      <c r="Q12" s="13"/>
      <c r="R12" s="13"/>
      <c r="S12" s="37" t="s">
        <v>197</v>
      </c>
      <c r="T12" s="37"/>
      <c r="U12" s="40">
        <v>12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="2" customFormat="1" ht="28.05" customHeight="1" spans="1:52">
      <c r="B13" s="42" t="s">
        <v>199</v>
      </c>
      <c r="C13" s="42"/>
      <c r="D13" s="42"/>
      <c r="E13" s="42"/>
      <c r="F13" s="42"/>
      <c r="G13" s="42"/>
      <c r="H13" s="42"/>
      <c r="I13" s="42"/>
      <c r="J13" s="42"/>
      <c r="K13" s="42">
        <f>SUM(K14:K45)</f>
        <v>1684</v>
      </c>
      <c r="L13" s="42"/>
      <c r="M13" s="43"/>
      <c r="N13" s="43"/>
      <c r="O13" s="43"/>
      <c r="P13" s="43"/>
      <c r="Q13" s="43"/>
      <c r="R13" s="43"/>
      <c r="S13" s="44"/>
      <c r="T13" s="44"/>
      <c r="U13" s="42">
        <f>SUM(U14:U45)</f>
        <v>789</v>
      </c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ht="81" spans="1:52">
      <c r="B14" s="33">
        <f>ROW()-4</f>
        <v>10</v>
      </c>
      <c r="C14" s="33"/>
      <c r="D14" s="34" t="s">
        <v>200</v>
      </c>
      <c r="E14" s="33" t="s">
        <v>201</v>
      </c>
      <c r="F14" s="45" t="s">
        <v>202</v>
      </c>
      <c r="G14" s="34" t="s">
        <v>203</v>
      </c>
      <c r="H14" s="33" t="s">
        <v>182</v>
      </c>
      <c r="I14" s="33">
        <v>6068</v>
      </c>
      <c r="J14" s="33" t="s">
        <v>183</v>
      </c>
      <c r="K14" s="22">
        <f t="shared" ref="K14:K20" si="3">U14-SUM(V14:AZ14)</f>
        <v>21</v>
      </c>
      <c r="L14" s="36">
        <f>K14+R14-SUM(M14:Q14)</f>
        <v>0</v>
      </c>
      <c r="M14" s="13"/>
      <c r="N14" s="13"/>
      <c r="O14" s="13"/>
      <c r="P14" s="13"/>
      <c r="Q14" s="22">
        <v>21</v>
      </c>
      <c r="R14" s="13"/>
      <c r="S14" s="37" t="s">
        <v>184</v>
      </c>
      <c r="T14" s="37"/>
      <c r="U14" s="22">
        <v>21</v>
      </c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ht="81" spans="1:52">
      <c r="B15" s="33">
        <f>ROW()-4</f>
        <v>11</v>
      </c>
      <c r="C15" s="33"/>
      <c r="D15" s="34" t="s">
        <v>204</v>
      </c>
      <c r="E15" s="33" t="s">
        <v>201</v>
      </c>
      <c r="F15" s="45" t="s">
        <v>205</v>
      </c>
      <c r="G15" s="34" t="s">
        <v>203</v>
      </c>
      <c r="H15" s="33" t="s">
        <v>206</v>
      </c>
      <c r="I15" s="33">
        <v>6068</v>
      </c>
      <c r="J15" s="33" t="s">
        <v>183</v>
      </c>
      <c r="K15" s="22">
        <f t="shared" si="3"/>
        <v>23</v>
      </c>
      <c r="L15" s="36">
        <f>K15+R15-SUM(M15:Q15)</f>
        <v>0</v>
      </c>
      <c r="M15" s="13"/>
      <c r="N15" s="13"/>
      <c r="O15" s="13"/>
      <c r="P15" s="13"/>
      <c r="Q15" s="22">
        <v>23</v>
      </c>
      <c r="R15" s="13"/>
      <c r="S15" s="37" t="s">
        <v>184</v>
      </c>
      <c r="T15" s="37"/>
      <c r="U15" s="22">
        <v>23</v>
      </c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ht="108" spans="1:52">
      <c r="B16" s="33">
        <f t="shared" ref="B16:B26" si="4">ROW()-4</f>
        <v>12</v>
      </c>
      <c r="C16" s="33"/>
      <c r="D16" s="34" t="s">
        <v>207</v>
      </c>
      <c r="E16" s="33" t="s">
        <v>111</v>
      </c>
      <c r="F16" s="45" t="s">
        <v>208</v>
      </c>
      <c r="G16" s="34" t="s">
        <v>203</v>
      </c>
      <c r="H16" s="33" t="s">
        <v>206</v>
      </c>
      <c r="I16" s="33">
        <v>6068</v>
      </c>
      <c r="J16" s="33" t="s">
        <v>183</v>
      </c>
      <c r="K16" s="22">
        <f t="shared" si="3"/>
        <v>9</v>
      </c>
      <c r="L16" s="36">
        <f t="shared" ref="L16:L24" si="5">K16+R16-SUM(M16:Q16)</f>
        <v>0</v>
      </c>
      <c r="M16" s="13"/>
      <c r="N16" s="13"/>
      <c r="O16" s="13"/>
      <c r="P16" s="13"/>
      <c r="Q16" s="13">
        <v>9</v>
      </c>
      <c r="R16" s="13"/>
      <c r="S16" s="37" t="s">
        <v>184</v>
      </c>
      <c r="T16" s="41"/>
      <c r="U16" s="21">
        <v>17</v>
      </c>
      <c r="V16" s="33"/>
      <c r="W16" s="33"/>
      <c r="X16" s="33"/>
      <c r="Y16" s="33"/>
      <c r="Z16" s="33">
        <v>1</v>
      </c>
      <c r="AA16" s="33"/>
      <c r="AB16" s="33"/>
      <c r="AC16" s="33">
        <v>6</v>
      </c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>
        <v>1</v>
      </c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ht="108" spans="2:52">
      <c r="B17" s="33">
        <f t="shared" si="4"/>
        <v>13</v>
      </c>
      <c r="C17" s="33"/>
      <c r="D17" s="33" t="s">
        <v>209</v>
      </c>
      <c r="E17" s="33" t="s">
        <v>111</v>
      </c>
      <c r="F17" s="45" t="s">
        <v>210</v>
      </c>
      <c r="G17" s="34" t="s">
        <v>203</v>
      </c>
      <c r="H17" s="33" t="s">
        <v>206</v>
      </c>
      <c r="I17" s="33">
        <v>7068</v>
      </c>
      <c r="J17" s="33" t="s">
        <v>183</v>
      </c>
      <c r="K17" s="22">
        <f t="shared" si="3"/>
        <v>1</v>
      </c>
      <c r="L17" s="36">
        <f t="shared" si="5"/>
        <v>1</v>
      </c>
      <c r="M17" s="13"/>
      <c r="N17" s="13"/>
      <c r="O17" s="13"/>
      <c r="P17" s="13"/>
      <c r="Q17" s="13"/>
      <c r="R17" s="13"/>
      <c r="S17" s="37" t="s">
        <v>184</v>
      </c>
      <c r="T17" s="41" t="s">
        <v>211</v>
      </c>
      <c r="U17" s="22">
        <v>31</v>
      </c>
      <c r="V17" s="33">
        <v>30</v>
      </c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ht="40.5" spans="2:52">
      <c r="B18" s="33">
        <f t="shared" si="4"/>
        <v>14</v>
      </c>
      <c r="C18" s="33"/>
      <c r="D18" s="34" t="s">
        <v>212</v>
      </c>
      <c r="E18" s="34" t="s">
        <v>213</v>
      </c>
      <c r="F18" s="34" t="s">
        <v>214</v>
      </c>
      <c r="G18" s="34"/>
      <c r="H18" s="33" t="s">
        <v>206</v>
      </c>
      <c r="I18" s="34" t="s">
        <v>215</v>
      </c>
      <c r="J18" s="33" t="s">
        <v>183</v>
      </c>
      <c r="K18" s="22">
        <f t="shared" si="3"/>
        <v>0</v>
      </c>
      <c r="L18" s="36">
        <f t="shared" si="5"/>
        <v>0</v>
      </c>
      <c r="M18" s="13"/>
      <c r="N18" s="13"/>
      <c r="P18" s="13"/>
      <c r="Q18" s="13"/>
      <c r="R18" s="13"/>
      <c r="S18" s="37" t="s">
        <v>184</v>
      </c>
      <c r="T18" s="37"/>
      <c r="U18" s="22">
        <v>1</v>
      </c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>
        <v>1</v>
      </c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ht="121.5" spans="2:52">
      <c r="B19" s="33">
        <f t="shared" si="4"/>
        <v>15</v>
      </c>
      <c r="C19" s="33"/>
      <c r="D19" s="34" t="s">
        <v>216</v>
      </c>
      <c r="E19" s="33" t="s">
        <v>111</v>
      </c>
      <c r="F19" s="45" t="s">
        <v>217</v>
      </c>
      <c r="G19" s="34" t="s">
        <v>218</v>
      </c>
      <c r="H19" s="34" t="s">
        <v>182</v>
      </c>
      <c r="I19" s="33">
        <v>7068</v>
      </c>
      <c r="J19" s="34" t="s">
        <v>183</v>
      </c>
      <c r="K19" s="22">
        <f t="shared" si="3"/>
        <v>51</v>
      </c>
      <c r="L19" s="36">
        <f t="shared" si="5"/>
        <v>120</v>
      </c>
      <c r="M19" s="13"/>
      <c r="N19" s="13"/>
      <c r="O19" s="13"/>
      <c r="P19" s="13"/>
      <c r="Q19" s="13"/>
      <c r="R19" s="13">
        <f>120-51</f>
        <v>69</v>
      </c>
      <c r="S19" s="41" t="s">
        <v>194</v>
      </c>
      <c r="T19" s="37"/>
      <c r="U19" s="22"/>
      <c r="V19" s="33"/>
      <c r="W19" s="33"/>
      <c r="X19" s="33">
        <v>-15</v>
      </c>
      <c r="Y19" s="33"/>
      <c r="Z19" s="33"/>
      <c r="AA19" s="33">
        <v>15</v>
      </c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>
        <v>-51</v>
      </c>
      <c r="AY19" s="33"/>
      <c r="AZ19" s="33"/>
    </row>
    <row r="20" ht="121.5" spans="2:52">
      <c r="B20" s="33">
        <f t="shared" si="4"/>
        <v>16</v>
      </c>
      <c r="C20" s="33"/>
      <c r="D20" s="46" t="s">
        <v>219</v>
      </c>
      <c r="E20" s="47" t="s">
        <v>111</v>
      </c>
      <c r="F20" s="45" t="s">
        <v>220</v>
      </c>
      <c r="G20" s="34" t="s">
        <v>218</v>
      </c>
      <c r="H20" s="46" t="s">
        <v>182</v>
      </c>
      <c r="I20" s="33">
        <v>6068</v>
      </c>
      <c r="J20" s="33" t="s">
        <v>183</v>
      </c>
      <c r="K20" s="22">
        <f t="shared" si="3"/>
        <v>0</v>
      </c>
      <c r="L20" s="36">
        <f t="shared" si="5"/>
        <v>30</v>
      </c>
      <c r="M20" s="13"/>
      <c r="N20" s="13"/>
      <c r="O20" s="13"/>
      <c r="P20" s="13"/>
      <c r="Q20" s="13"/>
      <c r="R20" s="13">
        <v>30</v>
      </c>
      <c r="S20" s="41" t="s">
        <v>194</v>
      </c>
      <c r="T20" s="37"/>
      <c r="U20" s="22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ht="40.5" spans="2:52">
      <c r="B21" s="33">
        <f t="shared" si="4"/>
        <v>17</v>
      </c>
      <c r="C21" s="33"/>
      <c r="D21" s="34" t="s">
        <v>221</v>
      </c>
      <c r="E21" s="34" t="s">
        <v>222</v>
      </c>
      <c r="F21" s="45" t="s">
        <v>223</v>
      </c>
      <c r="G21" s="34" t="s">
        <v>215</v>
      </c>
      <c r="H21" s="46" t="s">
        <v>182</v>
      </c>
      <c r="I21" s="34" t="s">
        <v>215</v>
      </c>
      <c r="J21" s="33" t="s">
        <v>183</v>
      </c>
      <c r="K21" s="22">
        <v>0</v>
      </c>
      <c r="L21" s="36">
        <f t="shared" si="5"/>
        <v>10</v>
      </c>
      <c r="M21" s="13"/>
      <c r="N21" s="13"/>
      <c r="O21" s="48"/>
      <c r="P21" s="13"/>
      <c r="Q21" s="13"/>
      <c r="R21" s="13">
        <v>10</v>
      </c>
      <c r="S21" s="41" t="s">
        <v>194</v>
      </c>
      <c r="T21" s="41"/>
      <c r="U21" s="22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ht="121.5" spans="2:52">
      <c r="B22" s="33">
        <f t="shared" si="4"/>
        <v>18</v>
      </c>
      <c r="C22" s="33"/>
      <c r="D22" s="46" t="s">
        <v>224</v>
      </c>
      <c r="E22" s="47" t="s">
        <v>111</v>
      </c>
      <c r="F22" s="45" t="s">
        <v>225</v>
      </c>
      <c r="G22" s="34" t="s">
        <v>218</v>
      </c>
      <c r="H22" s="47" t="s">
        <v>206</v>
      </c>
      <c r="I22" s="33">
        <v>7068</v>
      </c>
      <c r="J22" s="33" t="s">
        <v>183</v>
      </c>
      <c r="K22" s="22">
        <f>U22-SUM(V22:AZ22)</f>
        <v>51</v>
      </c>
      <c r="L22" s="36">
        <f t="shared" si="5"/>
        <v>120</v>
      </c>
      <c r="M22" s="13"/>
      <c r="N22" s="13"/>
      <c r="O22" s="13"/>
      <c r="P22" s="13"/>
      <c r="Q22" s="13"/>
      <c r="R22" s="13">
        <f>120-51</f>
        <v>69</v>
      </c>
      <c r="S22" s="41" t="s">
        <v>194</v>
      </c>
      <c r="T22" s="37"/>
      <c r="U22" s="22"/>
      <c r="V22" s="33"/>
      <c r="W22" s="33"/>
      <c r="X22" s="33">
        <v>-15</v>
      </c>
      <c r="Y22" s="33"/>
      <c r="Z22" s="33"/>
      <c r="AA22" s="33">
        <v>15</v>
      </c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>
        <v>-51</v>
      </c>
      <c r="AY22" s="33"/>
      <c r="AZ22" s="33"/>
    </row>
    <row r="23" ht="121.5" spans="2:52">
      <c r="B23" s="33">
        <f t="shared" si="4"/>
        <v>19</v>
      </c>
      <c r="C23" s="33"/>
      <c r="D23" s="46" t="s">
        <v>226</v>
      </c>
      <c r="E23" s="47" t="s">
        <v>111</v>
      </c>
      <c r="F23" s="45" t="s">
        <v>227</v>
      </c>
      <c r="G23" s="34" t="s">
        <v>218</v>
      </c>
      <c r="H23" s="47" t="s">
        <v>206</v>
      </c>
      <c r="I23" s="33">
        <v>6068</v>
      </c>
      <c r="J23" s="33" t="s">
        <v>183</v>
      </c>
      <c r="K23" s="22">
        <f>U23-SUM(V23:AZ23)</f>
        <v>0</v>
      </c>
      <c r="L23" s="36">
        <f t="shared" si="5"/>
        <v>20</v>
      </c>
      <c r="M23" s="13"/>
      <c r="N23" s="13"/>
      <c r="O23" s="13"/>
      <c r="P23" s="13"/>
      <c r="Q23" s="13"/>
      <c r="R23" s="13">
        <v>20</v>
      </c>
      <c r="S23" s="41" t="s">
        <v>194</v>
      </c>
      <c r="T23" s="37"/>
      <c r="U23" s="22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ht="40.5" spans="2:52">
      <c r="B24" s="33">
        <f t="shared" si="4"/>
        <v>20</v>
      </c>
      <c r="C24" s="33"/>
      <c r="D24" s="34" t="s">
        <v>228</v>
      </c>
      <c r="E24" s="34" t="s">
        <v>222</v>
      </c>
      <c r="F24" s="45" t="s">
        <v>229</v>
      </c>
      <c r="G24" s="34" t="s">
        <v>215</v>
      </c>
      <c r="H24" s="33" t="s">
        <v>206</v>
      </c>
      <c r="I24" s="34" t="s">
        <v>215</v>
      </c>
      <c r="J24" s="33" t="s">
        <v>183</v>
      </c>
      <c r="K24" s="22">
        <v>0</v>
      </c>
      <c r="L24" s="36">
        <f t="shared" si="5"/>
        <v>20</v>
      </c>
      <c r="M24" s="13"/>
      <c r="N24" s="13"/>
      <c r="O24" s="48"/>
      <c r="P24" s="13"/>
      <c r="Q24" s="13"/>
      <c r="R24" s="13">
        <v>20</v>
      </c>
      <c r="S24" s="41" t="s">
        <v>194</v>
      </c>
      <c r="T24" s="41"/>
      <c r="U24" s="22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ht="148.5" spans="2:52">
      <c r="B25" s="33">
        <f t="shared" si="4"/>
        <v>21</v>
      </c>
      <c r="C25" s="33"/>
      <c r="D25" s="34" t="s">
        <v>230</v>
      </c>
      <c r="E25" s="33" t="s">
        <v>126</v>
      </c>
      <c r="F25" s="45" t="s">
        <v>231</v>
      </c>
      <c r="G25" s="34" t="s">
        <v>232</v>
      </c>
      <c r="H25" s="33" t="s">
        <v>233</v>
      </c>
      <c r="I25" s="33">
        <v>7068</v>
      </c>
      <c r="J25" s="33" t="s">
        <v>183</v>
      </c>
      <c r="K25" s="22">
        <f t="shared" ref="K25:K45" si="6">U25-SUM(V25:AZ25)</f>
        <v>63</v>
      </c>
      <c r="L25" s="36">
        <f t="shared" ref="L25:L42" si="7">K25+R25-SUM(M25:Q25)</f>
        <v>531</v>
      </c>
      <c r="M25" s="13"/>
      <c r="N25" s="13"/>
      <c r="O25" s="13"/>
      <c r="P25" s="13"/>
      <c r="Q25" s="13">
        <v>12</v>
      </c>
      <c r="R25" s="13">
        <v>480</v>
      </c>
      <c r="S25" s="37" t="s">
        <v>234</v>
      </c>
      <c r="T25" s="37"/>
      <c r="U25" s="21">
        <f>1+246</f>
        <v>247</v>
      </c>
      <c r="V25" s="33"/>
      <c r="W25" s="33"/>
      <c r="X25" s="33"/>
      <c r="Y25" s="33"/>
      <c r="Z25" s="33"/>
      <c r="AA25" s="33">
        <v>184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ht="148.5" spans="2:52">
      <c r="B26" s="33">
        <f t="shared" si="4"/>
        <v>22</v>
      </c>
      <c r="C26" s="33"/>
      <c r="D26" s="34" t="s">
        <v>235</v>
      </c>
      <c r="E26" s="33" t="s">
        <v>126</v>
      </c>
      <c r="F26" s="45" t="s">
        <v>236</v>
      </c>
      <c r="G26" s="34" t="s">
        <v>232</v>
      </c>
      <c r="H26" s="33" t="s">
        <v>233</v>
      </c>
      <c r="I26" s="33">
        <v>6068</v>
      </c>
      <c r="J26" s="33" t="s">
        <v>183</v>
      </c>
      <c r="K26" s="22">
        <f t="shared" si="6"/>
        <v>47</v>
      </c>
      <c r="L26" s="36">
        <f t="shared" si="7"/>
        <v>47</v>
      </c>
      <c r="M26" s="13"/>
      <c r="N26" s="13"/>
      <c r="O26" s="13"/>
      <c r="P26" s="13"/>
      <c r="Q26" s="13"/>
      <c r="R26" s="13"/>
      <c r="S26" s="37" t="s">
        <v>234</v>
      </c>
      <c r="T26" s="37"/>
      <c r="U26" s="21">
        <v>49</v>
      </c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>
        <v>1</v>
      </c>
      <c r="AK26" s="33"/>
      <c r="AL26" s="33"/>
      <c r="AM26" s="33"/>
      <c r="AN26" s="33"/>
      <c r="AO26" s="33">
        <v>1</v>
      </c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ht="159" customHeight="1" spans="2:52">
      <c r="B27" s="33">
        <f t="shared" ref="B27:B45" si="8">ROW()-4</f>
        <v>23</v>
      </c>
      <c r="C27" s="33"/>
      <c r="D27" s="34" t="s">
        <v>237</v>
      </c>
      <c r="E27" s="33" t="s">
        <v>126</v>
      </c>
      <c r="F27" s="45" t="s">
        <v>238</v>
      </c>
      <c r="G27" s="34" t="s">
        <v>239</v>
      </c>
      <c r="H27" s="33" t="s">
        <v>182</v>
      </c>
      <c r="I27" s="33">
        <v>6068</v>
      </c>
      <c r="J27" s="33" t="s">
        <v>183</v>
      </c>
      <c r="K27" s="22">
        <f t="shared" si="6"/>
        <v>0</v>
      </c>
      <c r="L27" s="36">
        <f t="shared" si="7"/>
        <v>7</v>
      </c>
      <c r="M27" s="13"/>
      <c r="N27" s="13"/>
      <c r="O27" s="13"/>
      <c r="P27" s="13"/>
      <c r="Q27" s="13"/>
      <c r="R27" s="13">
        <v>7</v>
      </c>
      <c r="S27" s="37" t="s">
        <v>234</v>
      </c>
      <c r="T27" s="37"/>
      <c r="U27" s="21">
        <v>0</v>
      </c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>
        <v>-1</v>
      </c>
      <c r="AM27" s="33">
        <v>1</v>
      </c>
      <c r="AN27" s="33"/>
      <c r="AO27" s="33">
        <v>1</v>
      </c>
      <c r="AP27" s="33">
        <v>-1</v>
      </c>
      <c r="AQ27" s="33"/>
      <c r="AR27" s="33">
        <v>-1</v>
      </c>
      <c r="AS27" s="33">
        <v>1</v>
      </c>
      <c r="AT27" s="33"/>
      <c r="AU27" s="33"/>
      <c r="AV27" s="33"/>
      <c r="AW27" s="33"/>
      <c r="AX27" s="33"/>
      <c r="AY27" s="33"/>
      <c r="AZ27" s="33"/>
    </row>
    <row r="28" ht="79.65" customHeight="1" spans="2:52">
      <c r="B28" s="33">
        <f t="shared" si="8"/>
        <v>24</v>
      </c>
      <c r="C28" s="33"/>
      <c r="D28" s="34" t="s">
        <v>240</v>
      </c>
      <c r="E28" s="41" t="s">
        <v>241</v>
      </c>
      <c r="F28" s="34" t="s">
        <v>242</v>
      </c>
      <c r="G28" s="34" t="s">
        <v>215</v>
      </c>
      <c r="H28" s="38" t="s">
        <v>233</v>
      </c>
      <c r="I28" s="38" t="s">
        <v>215</v>
      </c>
      <c r="J28" s="33" t="s">
        <v>183</v>
      </c>
      <c r="K28" s="22">
        <f t="shared" si="6"/>
        <v>12</v>
      </c>
      <c r="L28" s="36">
        <f t="shared" si="7"/>
        <v>12</v>
      </c>
      <c r="M28" s="13"/>
      <c r="N28" s="13"/>
      <c r="O28" s="13"/>
      <c r="P28" s="13"/>
      <c r="Q28" s="13"/>
      <c r="R28" s="13"/>
      <c r="S28" s="37" t="s">
        <v>184</v>
      </c>
      <c r="T28" s="37"/>
      <c r="U28" s="40">
        <v>12</v>
      </c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</row>
    <row r="29" ht="101.4" customHeight="1" spans="2:52">
      <c r="B29" s="33">
        <f t="shared" si="8"/>
        <v>25</v>
      </c>
      <c r="C29" s="33"/>
      <c r="D29" s="34" t="s">
        <v>243</v>
      </c>
      <c r="E29" s="33" t="s">
        <v>244</v>
      </c>
      <c r="F29" s="45" t="s">
        <v>245</v>
      </c>
      <c r="G29" s="45"/>
      <c r="H29" s="33" t="s">
        <v>182</v>
      </c>
      <c r="I29" s="33">
        <v>6068</v>
      </c>
      <c r="J29" s="33" t="s">
        <v>183</v>
      </c>
      <c r="K29" s="22">
        <f t="shared" si="6"/>
        <v>8</v>
      </c>
      <c r="L29" s="36">
        <f t="shared" si="7"/>
        <v>0</v>
      </c>
      <c r="M29" s="13"/>
      <c r="N29" s="13"/>
      <c r="O29" s="13"/>
      <c r="P29" s="13"/>
      <c r="Q29" s="13">
        <v>8</v>
      </c>
      <c r="R29" s="13"/>
      <c r="S29" s="37" t="s">
        <v>184</v>
      </c>
      <c r="T29" s="37"/>
      <c r="U29" s="21">
        <v>8</v>
      </c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ht="126.45" customHeight="1" spans="2:52">
      <c r="B30" s="33">
        <f t="shared" si="8"/>
        <v>26</v>
      </c>
      <c r="C30" s="33"/>
      <c r="D30" s="34" t="s">
        <v>246</v>
      </c>
      <c r="E30" s="33" t="s">
        <v>244</v>
      </c>
      <c r="F30" s="45" t="s">
        <v>247</v>
      </c>
      <c r="G30" s="34" t="s">
        <v>248</v>
      </c>
      <c r="H30" s="33" t="s">
        <v>182</v>
      </c>
      <c r="I30" s="33">
        <v>7068</v>
      </c>
      <c r="J30" s="33" t="s">
        <v>183</v>
      </c>
      <c r="K30" s="22">
        <f t="shared" si="6"/>
        <v>146</v>
      </c>
      <c r="L30" s="36">
        <f t="shared" si="7"/>
        <v>626</v>
      </c>
      <c r="M30" s="13"/>
      <c r="N30" s="13"/>
      <c r="O30" s="13"/>
      <c r="P30" s="13"/>
      <c r="Q30" s="13">
        <v>20</v>
      </c>
      <c r="R30" s="13">
        <v>500</v>
      </c>
      <c r="S30" s="37" t="s">
        <v>194</v>
      </c>
      <c r="T30" s="37"/>
      <c r="U30" s="21">
        <f>2+296</f>
        <v>298</v>
      </c>
      <c r="V30" s="33"/>
      <c r="W30" s="33"/>
      <c r="X30" s="33"/>
      <c r="Y30" s="33"/>
      <c r="Z30" s="33"/>
      <c r="AA30" s="33">
        <v>152</v>
      </c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ht="54" spans="2:52">
      <c r="B31" s="33">
        <f t="shared" si="8"/>
        <v>27</v>
      </c>
      <c r="C31" s="33"/>
      <c r="D31" s="33" t="s">
        <v>249</v>
      </c>
      <c r="E31" s="33" t="s">
        <v>250</v>
      </c>
      <c r="F31" s="33" t="s">
        <v>251</v>
      </c>
      <c r="G31" s="33"/>
      <c r="H31" s="33" t="s">
        <v>182</v>
      </c>
      <c r="I31" s="33">
        <v>7068</v>
      </c>
      <c r="J31" s="33" t="s">
        <v>183</v>
      </c>
      <c r="K31" s="22">
        <f t="shared" si="6"/>
        <v>2</v>
      </c>
      <c r="L31" s="36">
        <f t="shared" si="7"/>
        <v>2</v>
      </c>
      <c r="M31" s="13"/>
      <c r="N31" s="13"/>
      <c r="O31" s="13"/>
      <c r="P31" s="13"/>
      <c r="Q31" s="13"/>
      <c r="R31" s="13"/>
      <c r="S31" s="37" t="s">
        <v>184</v>
      </c>
      <c r="T31" s="37"/>
      <c r="U31" s="22">
        <v>2</v>
      </c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ht="67.5" spans="2:52">
      <c r="B32" s="33">
        <f t="shared" si="8"/>
        <v>28</v>
      </c>
      <c r="C32" s="33"/>
      <c r="D32" s="33" t="s">
        <v>252</v>
      </c>
      <c r="E32" s="33" t="s">
        <v>250</v>
      </c>
      <c r="F32" s="33" t="s">
        <v>253</v>
      </c>
      <c r="G32" s="33"/>
      <c r="H32" s="33" t="s">
        <v>182</v>
      </c>
      <c r="I32" s="33">
        <v>7068</v>
      </c>
      <c r="J32" s="33" t="s">
        <v>183</v>
      </c>
      <c r="K32" s="22">
        <f t="shared" si="6"/>
        <v>3</v>
      </c>
      <c r="L32" s="36">
        <f t="shared" si="7"/>
        <v>3</v>
      </c>
      <c r="M32" s="13"/>
      <c r="N32" s="13"/>
      <c r="O32" s="13"/>
      <c r="P32" s="13"/>
      <c r="Q32" s="13"/>
      <c r="R32" s="13"/>
      <c r="S32" s="37" t="s">
        <v>194</v>
      </c>
      <c r="T32" s="37"/>
      <c r="U32" s="22">
        <v>3</v>
      </c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ht="64.95" customHeight="1" spans="2:52">
      <c r="B33" s="33">
        <f t="shared" si="8"/>
        <v>29</v>
      </c>
      <c r="C33" s="33"/>
      <c r="D33" s="34" t="s">
        <v>254</v>
      </c>
      <c r="E33" s="34" t="s">
        <v>22</v>
      </c>
      <c r="F33" s="34" t="s">
        <v>255</v>
      </c>
      <c r="G33" s="34"/>
      <c r="H33" s="33" t="s">
        <v>182</v>
      </c>
      <c r="I33" s="33">
        <v>7068</v>
      </c>
      <c r="J33" s="33" t="s">
        <v>183</v>
      </c>
      <c r="K33" s="22">
        <f t="shared" si="6"/>
        <v>3</v>
      </c>
      <c r="L33" s="36">
        <f t="shared" si="7"/>
        <v>3</v>
      </c>
      <c r="M33" s="13"/>
      <c r="N33" s="13"/>
      <c r="O33" s="13"/>
      <c r="P33" s="13"/>
      <c r="Q33" s="13"/>
      <c r="R33" s="13"/>
      <c r="S33" s="41" t="s">
        <v>184</v>
      </c>
      <c r="T33" s="37"/>
      <c r="U33" s="22">
        <v>3</v>
      </c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ht="113.7" customHeight="1" spans="2:52">
      <c r="B34" s="33">
        <f t="shared" si="8"/>
        <v>30</v>
      </c>
      <c r="C34" s="33"/>
      <c r="D34" s="34" t="s">
        <v>256</v>
      </c>
      <c r="E34" s="33" t="s">
        <v>22</v>
      </c>
      <c r="F34" s="45" t="s">
        <v>257</v>
      </c>
      <c r="G34" s="45"/>
      <c r="H34" s="33" t="s">
        <v>182</v>
      </c>
      <c r="I34" s="33">
        <v>7068</v>
      </c>
      <c r="J34" s="33" t="s">
        <v>183</v>
      </c>
      <c r="K34" s="22">
        <f t="shared" si="6"/>
        <v>42</v>
      </c>
      <c r="L34" s="36">
        <f t="shared" si="7"/>
        <v>30</v>
      </c>
      <c r="M34" s="13"/>
      <c r="N34" s="13"/>
      <c r="O34" s="13"/>
      <c r="P34" s="13"/>
      <c r="Q34" s="13">
        <v>12</v>
      </c>
      <c r="R34" s="13"/>
      <c r="S34" s="37" t="s">
        <v>194</v>
      </c>
      <c r="T34" s="37"/>
      <c r="U34" s="22">
        <v>42</v>
      </c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ht="63.3" customHeight="1" spans="2:52">
      <c r="B35" s="33">
        <f t="shared" si="8"/>
        <v>31</v>
      </c>
      <c r="C35" s="33"/>
      <c r="D35" s="34" t="s">
        <v>258</v>
      </c>
      <c r="E35" s="33" t="s">
        <v>22</v>
      </c>
      <c r="F35" s="45" t="s">
        <v>259</v>
      </c>
      <c r="G35" s="45"/>
      <c r="H35" s="33" t="s">
        <v>182</v>
      </c>
      <c r="I35" s="33">
        <v>7068</v>
      </c>
      <c r="J35" s="33" t="s">
        <v>183</v>
      </c>
      <c r="K35" s="22">
        <f t="shared" si="6"/>
        <v>3</v>
      </c>
      <c r="L35" s="36">
        <f t="shared" si="7"/>
        <v>0</v>
      </c>
      <c r="M35" s="13">
        <v>3</v>
      </c>
      <c r="N35" s="13"/>
      <c r="O35" s="13"/>
      <c r="P35" s="13"/>
      <c r="Q35" s="13"/>
      <c r="R35" s="13"/>
      <c r="S35" s="37" t="s">
        <v>194</v>
      </c>
      <c r="T35" s="37"/>
      <c r="U35" s="22">
        <v>3</v>
      </c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ht="54" spans="2:52">
      <c r="B36" s="33">
        <f t="shared" si="8"/>
        <v>32</v>
      </c>
      <c r="C36" s="33"/>
      <c r="D36" s="34" t="s">
        <v>260</v>
      </c>
      <c r="E36" s="33" t="s">
        <v>22</v>
      </c>
      <c r="F36" s="45" t="s">
        <v>261</v>
      </c>
      <c r="G36" s="45"/>
      <c r="H36" s="33" t="s">
        <v>182</v>
      </c>
      <c r="I36" s="33">
        <v>7068</v>
      </c>
      <c r="J36" s="33" t="s">
        <v>183</v>
      </c>
      <c r="K36" s="22">
        <f t="shared" si="6"/>
        <v>10</v>
      </c>
      <c r="L36" s="36">
        <f t="shared" si="7"/>
        <v>0</v>
      </c>
      <c r="M36" s="13">
        <v>10</v>
      </c>
      <c r="N36" s="13"/>
      <c r="O36" s="13"/>
      <c r="P36" s="13"/>
      <c r="Q36" s="13"/>
      <c r="R36" s="13"/>
      <c r="S36" s="37" t="s">
        <v>194</v>
      </c>
      <c r="T36" s="37"/>
      <c r="U36" s="22">
        <v>10</v>
      </c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</row>
    <row r="37" ht="54" spans="2:52">
      <c r="B37" s="33">
        <f t="shared" si="8"/>
        <v>33</v>
      </c>
      <c r="C37" s="33"/>
      <c r="D37" s="33" t="s">
        <v>262</v>
      </c>
      <c r="E37" s="33" t="s">
        <v>263</v>
      </c>
      <c r="F37" s="33" t="s">
        <v>264</v>
      </c>
      <c r="G37" s="33"/>
      <c r="H37" s="33" t="s">
        <v>182</v>
      </c>
      <c r="I37" s="33">
        <v>7068</v>
      </c>
      <c r="J37" s="33" t="s">
        <v>183</v>
      </c>
      <c r="K37" s="22">
        <f t="shared" si="6"/>
        <v>0</v>
      </c>
      <c r="L37" s="36">
        <f t="shared" si="7"/>
        <v>0</v>
      </c>
      <c r="M37" s="13">
        <v>135</v>
      </c>
      <c r="N37" s="13"/>
      <c r="O37" s="13"/>
      <c r="P37" s="13"/>
      <c r="Q37" s="13"/>
      <c r="R37" s="13">
        <v>135</v>
      </c>
      <c r="S37" s="37" t="s">
        <v>194</v>
      </c>
      <c r="T37" s="41"/>
      <c r="U37" s="22">
        <v>0</v>
      </c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</row>
    <row r="38" ht="101.25" spans="2:52">
      <c r="B38" s="33">
        <f t="shared" si="8"/>
        <v>34</v>
      </c>
      <c r="C38" s="33"/>
      <c r="D38" s="34" t="s">
        <v>265</v>
      </c>
      <c r="E38" s="34" t="s">
        <v>22</v>
      </c>
      <c r="F38" s="49" t="s">
        <v>266</v>
      </c>
      <c r="G38" s="34" t="s">
        <v>218</v>
      </c>
      <c r="H38" s="33" t="s">
        <v>182</v>
      </c>
      <c r="I38" s="33">
        <v>7068</v>
      </c>
      <c r="J38" s="33" t="s">
        <v>183</v>
      </c>
      <c r="K38" s="22">
        <f t="shared" si="6"/>
        <v>383</v>
      </c>
      <c r="L38" s="36">
        <f t="shared" si="7"/>
        <v>383</v>
      </c>
      <c r="M38" s="13"/>
      <c r="N38" s="13"/>
      <c r="O38" s="13"/>
      <c r="P38" s="13"/>
      <c r="Q38" s="13"/>
      <c r="R38" s="13"/>
      <c r="S38" s="37" t="s">
        <v>194</v>
      </c>
      <c r="T38" s="41"/>
      <c r="U38" s="22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>
        <v>-1</v>
      </c>
      <c r="AU38" s="33">
        <v>1</v>
      </c>
      <c r="AV38" s="33"/>
      <c r="AW38" s="33"/>
      <c r="AX38" s="33">
        <v>-383</v>
      </c>
      <c r="AY38" s="33"/>
      <c r="AZ38" s="33"/>
    </row>
    <row r="39" ht="123.75" spans="2:52">
      <c r="B39" s="33">
        <f t="shared" si="8"/>
        <v>35</v>
      </c>
      <c r="C39" s="33"/>
      <c r="D39" s="34" t="s">
        <v>267</v>
      </c>
      <c r="E39" s="33" t="s">
        <v>263</v>
      </c>
      <c r="F39" s="49" t="s">
        <v>268</v>
      </c>
      <c r="G39" s="34"/>
      <c r="H39" s="33" t="s">
        <v>182</v>
      </c>
      <c r="I39" s="33">
        <v>7068</v>
      </c>
      <c r="J39" s="33" t="s">
        <v>183</v>
      </c>
      <c r="K39" s="22">
        <f t="shared" si="6"/>
        <v>0</v>
      </c>
      <c r="L39" s="36">
        <f t="shared" si="7"/>
        <v>99</v>
      </c>
      <c r="M39" s="13"/>
      <c r="N39" s="13"/>
      <c r="O39" s="13"/>
      <c r="P39" s="13"/>
      <c r="Q39" s="13"/>
      <c r="R39" s="13">
        <v>99</v>
      </c>
      <c r="S39" s="37" t="s">
        <v>194</v>
      </c>
      <c r="T39" s="41"/>
      <c r="U39" s="22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>
        <v>-1</v>
      </c>
      <c r="AU39" s="33">
        <v>1</v>
      </c>
      <c r="AV39" s="33"/>
      <c r="AW39" s="33"/>
      <c r="AX39" s="33"/>
      <c r="AY39" s="33"/>
      <c r="AZ39" s="33"/>
    </row>
    <row r="40" ht="135" spans="2:52">
      <c r="B40" s="33">
        <f t="shared" si="8"/>
        <v>36</v>
      </c>
      <c r="C40" s="33"/>
      <c r="D40" s="34" t="s">
        <v>269</v>
      </c>
      <c r="E40" s="33" t="s">
        <v>270</v>
      </c>
      <c r="F40" s="49" t="s">
        <v>271</v>
      </c>
      <c r="G40" s="34" t="s">
        <v>203</v>
      </c>
      <c r="H40" s="33" t="s">
        <v>182</v>
      </c>
      <c r="I40" s="33">
        <v>7068</v>
      </c>
      <c r="J40" s="33" t="s">
        <v>183</v>
      </c>
      <c r="K40" s="22">
        <f t="shared" si="6"/>
        <v>144</v>
      </c>
      <c r="L40" s="36">
        <f t="shared" si="7"/>
        <v>144</v>
      </c>
      <c r="M40" s="13"/>
      <c r="N40" s="13"/>
      <c r="O40" s="13"/>
      <c r="P40" s="13"/>
      <c r="Q40" s="13"/>
      <c r="R40" s="13"/>
      <c r="S40" s="37" t="s">
        <v>194</v>
      </c>
      <c r="T40" s="37"/>
      <c r="U40" s="22">
        <v>0</v>
      </c>
      <c r="V40" s="33"/>
      <c r="W40" s="33"/>
      <c r="X40" s="33">
        <v>-150</v>
      </c>
      <c r="Y40" s="33">
        <v>1</v>
      </c>
      <c r="Z40" s="33"/>
      <c r="AA40" s="33">
        <v>144</v>
      </c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>
        <v>-140</v>
      </c>
      <c r="AU40" s="33">
        <v>1</v>
      </c>
      <c r="AV40" s="33"/>
      <c r="AW40" s="33"/>
      <c r="AX40" s="33"/>
      <c r="AY40" s="33"/>
      <c r="AZ40" s="33"/>
    </row>
    <row r="41" ht="135" spans="2:52">
      <c r="B41" s="33">
        <f t="shared" si="8"/>
        <v>37</v>
      </c>
      <c r="C41" s="33"/>
      <c r="D41" s="34" t="s">
        <v>272</v>
      </c>
      <c r="E41" s="33" t="s">
        <v>270</v>
      </c>
      <c r="F41" s="49" t="s">
        <v>273</v>
      </c>
      <c r="G41" s="34" t="s">
        <v>203</v>
      </c>
      <c r="H41" s="33" t="s">
        <v>206</v>
      </c>
      <c r="I41" s="33">
        <v>7068</v>
      </c>
      <c r="J41" s="33" t="s">
        <v>183</v>
      </c>
      <c r="K41" s="22">
        <f t="shared" si="6"/>
        <v>143</v>
      </c>
      <c r="L41" s="36">
        <f t="shared" si="7"/>
        <v>143</v>
      </c>
      <c r="M41" s="13"/>
      <c r="N41" s="13"/>
      <c r="O41" s="13"/>
      <c r="P41" s="13"/>
      <c r="Q41" s="13"/>
      <c r="R41" s="13"/>
      <c r="S41" s="37" t="s">
        <v>194</v>
      </c>
      <c r="T41" s="37"/>
      <c r="U41" s="22">
        <v>0</v>
      </c>
      <c r="V41" s="33"/>
      <c r="W41" s="33"/>
      <c r="X41" s="33">
        <v>-150</v>
      </c>
      <c r="Y41" s="33">
        <v>1</v>
      </c>
      <c r="Z41" s="33"/>
      <c r="AA41" s="33">
        <v>144</v>
      </c>
      <c r="AB41" s="33"/>
      <c r="AC41" s="33"/>
      <c r="AD41" s="33"/>
      <c r="AE41" s="33"/>
      <c r="AF41" s="33"/>
      <c r="AG41" s="33"/>
      <c r="AH41" s="33"/>
      <c r="AI41" s="33">
        <v>-1</v>
      </c>
      <c r="AJ41" s="33">
        <v>1</v>
      </c>
      <c r="AK41" s="33"/>
      <c r="AL41" s="33"/>
      <c r="AM41" s="33"/>
      <c r="AN41" s="33"/>
      <c r="AO41" s="33"/>
      <c r="AP41" s="33"/>
      <c r="AQ41" s="33"/>
      <c r="AR41" s="33"/>
      <c r="AS41" s="33"/>
      <c r="AT41" s="33">
        <v>-138</v>
      </c>
      <c r="AU41" s="33"/>
      <c r="AV41" s="33"/>
      <c r="AW41" s="33"/>
      <c r="AX41" s="33"/>
      <c r="AY41" s="33"/>
      <c r="AZ41" s="33"/>
    </row>
    <row r="42" ht="90" spans="2:52">
      <c r="B42" s="33">
        <f t="shared" si="8"/>
        <v>38</v>
      </c>
      <c r="C42" s="33"/>
      <c r="D42" s="34" t="s">
        <v>274</v>
      </c>
      <c r="E42" s="34" t="s">
        <v>275</v>
      </c>
      <c r="F42" s="49" t="s">
        <v>276</v>
      </c>
      <c r="G42" s="34" t="s">
        <v>203</v>
      </c>
      <c r="H42" s="33" t="s">
        <v>182</v>
      </c>
      <c r="I42" s="34" t="s">
        <v>277</v>
      </c>
      <c r="J42" s="33" t="s">
        <v>183</v>
      </c>
      <c r="K42" s="22">
        <f t="shared" si="6"/>
        <v>500</v>
      </c>
      <c r="L42" s="36">
        <f t="shared" si="7"/>
        <v>500</v>
      </c>
      <c r="M42" s="13"/>
      <c r="N42" s="13"/>
      <c r="O42" s="13"/>
      <c r="P42" s="13"/>
      <c r="Q42" s="13"/>
      <c r="R42" s="13"/>
      <c r="S42" s="41" t="s">
        <v>278</v>
      </c>
      <c r="T42" s="37"/>
      <c r="U42" s="22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>
        <v>-500</v>
      </c>
      <c r="AU42" s="33"/>
      <c r="AV42" s="33"/>
      <c r="AW42" s="33"/>
      <c r="AX42" s="33"/>
      <c r="AY42" s="33"/>
      <c r="AZ42" s="33"/>
    </row>
    <row r="43" ht="27" spans="2:52">
      <c r="B43" s="33">
        <f t="shared" si="8"/>
        <v>39</v>
      </c>
      <c r="C43" s="33"/>
      <c r="D43" s="33" t="s">
        <v>279</v>
      </c>
      <c r="E43" s="33" t="s">
        <v>280</v>
      </c>
      <c r="F43" s="33" t="s">
        <v>281</v>
      </c>
      <c r="G43" s="33"/>
      <c r="H43" s="33" t="s">
        <v>182</v>
      </c>
      <c r="I43" s="33">
        <v>6068</v>
      </c>
      <c r="J43" s="33" t="s">
        <v>183</v>
      </c>
      <c r="K43" s="22">
        <f t="shared" si="6"/>
        <v>19</v>
      </c>
      <c r="L43" s="36">
        <f t="shared" ref="L43:L55" si="9">K43+R43-SUM(M43:Q43)</f>
        <v>19</v>
      </c>
      <c r="M43" s="13"/>
      <c r="N43" s="13"/>
      <c r="O43" s="13"/>
      <c r="P43" s="13"/>
      <c r="Q43" s="13"/>
      <c r="R43" s="13"/>
      <c r="S43" s="37" t="s">
        <v>197</v>
      </c>
      <c r="T43" s="37"/>
      <c r="U43" s="22">
        <v>19</v>
      </c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ht="40.5" spans="2:52">
      <c r="B44" s="33">
        <f t="shared" si="8"/>
        <v>40</v>
      </c>
      <c r="C44" s="33"/>
      <c r="D44" s="33" t="s">
        <v>282</v>
      </c>
      <c r="E44" s="33" t="s">
        <v>133</v>
      </c>
      <c r="F44" s="33" t="s">
        <v>283</v>
      </c>
      <c r="G44" s="33"/>
      <c r="H44" s="33" t="s">
        <v>182</v>
      </c>
      <c r="I44" s="33" t="s">
        <v>196</v>
      </c>
      <c r="J44" s="33" t="s">
        <v>183</v>
      </c>
      <c r="K44" s="22">
        <f t="shared" si="6"/>
        <v>0</v>
      </c>
      <c r="L44" s="36">
        <f t="shared" si="9"/>
        <v>22</v>
      </c>
      <c r="M44" s="13"/>
      <c r="N44" s="13"/>
      <c r="O44" s="13"/>
      <c r="P44" s="13"/>
      <c r="Q44" s="13"/>
      <c r="R44" s="13">
        <f>25-3</f>
        <v>22</v>
      </c>
      <c r="S44" s="37" t="s">
        <v>197</v>
      </c>
      <c r="T44" s="37"/>
      <c r="U44" s="22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>
        <v>3</v>
      </c>
      <c r="AH44" s="33">
        <v>-3</v>
      </c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ht="27" spans="2:52">
      <c r="B45" s="33">
        <f t="shared" si="8"/>
        <v>41</v>
      </c>
      <c r="C45" s="33"/>
      <c r="D45" s="33" t="s">
        <v>284</v>
      </c>
      <c r="E45" s="33" t="s">
        <v>285</v>
      </c>
      <c r="F45" s="33" t="s">
        <v>286</v>
      </c>
      <c r="G45" s="33"/>
      <c r="H45" s="33" t="s">
        <v>182</v>
      </c>
      <c r="I45" s="33">
        <v>6068</v>
      </c>
      <c r="J45" s="33" t="s">
        <v>183</v>
      </c>
      <c r="K45" s="22">
        <f t="shared" si="6"/>
        <v>0</v>
      </c>
      <c r="L45" s="36">
        <f t="shared" si="9"/>
        <v>21</v>
      </c>
      <c r="M45" s="13"/>
      <c r="N45" s="13"/>
      <c r="O45" s="13"/>
      <c r="P45" s="13"/>
      <c r="Q45" s="13"/>
      <c r="R45" s="13">
        <v>21</v>
      </c>
      <c r="S45" s="37" t="s">
        <v>197</v>
      </c>
      <c r="T45" s="37"/>
      <c r="U45" s="22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>
        <v>1</v>
      </c>
      <c r="AH45" s="33">
        <v>-1</v>
      </c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="3" customFormat="1" ht="25.95" customHeight="1" spans="2:52">
      <c r="B46" s="50" t="s">
        <v>287</v>
      </c>
      <c r="C46" s="51"/>
      <c r="D46" s="51"/>
      <c r="E46" s="51"/>
      <c r="F46" s="51"/>
      <c r="G46" s="51"/>
      <c r="H46" s="51"/>
      <c r="I46" s="51"/>
      <c r="J46" s="52"/>
      <c r="K46" s="53">
        <f>SUM(K47:K55)</f>
        <v>24</v>
      </c>
      <c r="L46" s="54"/>
      <c r="M46" s="55"/>
      <c r="N46" s="55"/>
      <c r="O46" s="55"/>
      <c r="P46" s="55"/>
      <c r="Q46" s="55"/>
      <c r="R46" s="55"/>
      <c r="S46" s="56"/>
      <c r="T46" s="56"/>
      <c r="U46" s="53">
        <f>SUM(U47:U54)</f>
        <v>4</v>
      </c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</row>
    <row r="47" ht="48" spans="2:52">
      <c r="B47" s="33">
        <f t="shared" ref="B47:B55" si="10">ROW()-4</f>
        <v>43</v>
      </c>
      <c r="C47" s="33"/>
      <c r="D47" s="58" t="s">
        <v>99</v>
      </c>
      <c r="E47" s="38" t="s">
        <v>101</v>
      </c>
      <c r="F47" s="58" t="s">
        <v>103</v>
      </c>
      <c r="G47" s="58"/>
      <c r="H47" s="38" t="s">
        <v>182</v>
      </c>
      <c r="I47" s="38"/>
      <c r="J47" s="33" t="s">
        <v>183</v>
      </c>
      <c r="K47" s="40">
        <f t="shared" ref="K47:K55" si="11">U47-SUM(V47:AZ47)</f>
        <v>2</v>
      </c>
      <c r="L47" s="36">
        <f t="shared" si="9"/>
        <v>2</v>
      </c>
      <c r="M47" s="13"/>
      <c r="N47" s="13"/>
      <c r="O47" s="13"/>
      <c r="P47" s="13"/>
      <c r="Q47" s="13"/>
      <c r="R47" s="13"/>
      <c r="S47" s="37" t="s">
        <v>197</v>
      </c>
      <c r="T47" s="37"/>
      <c r="U47" s="40">
        <v>2</v>
      </c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ht="36" spans="2:52">
      <c r="B48" s="33">
        <f t="shared" si="10"/>
        <v>44</v>
      </c>
      <c r="C48" s="33"/>
      <c r="D48" s="58" t="s">
        <v>105</v>
      </c>
      <c r="E48" s="38" t="s">
        <v>107</v>
      </c>
      <c r="F48" s="58" t="s">
        <v>108</v>
      </c>
      <c r="G48" s="58"/>
      <c r="H48" s="38" t="s">
        <v>182</v>
      </c>
      <c r="I48" s="38"/>
      <c r="J48" s="33" t="s">
        <v>183</v>
      </c>
      <c r="K48" s="40">
        <f t="shared" si="11"/>
        <v>1</v>
      </c>
      <c r="L48" s="36">
        <f t="shared" si="9"/>
        <v>1</v>
      </c>
      <c r="M48" s="13"/>
      <c r="N48" s="13"/>
      <c r="O48" s="13"/>
      <c r="P48" s="13"/>
      <c r="Q48" s="13"/>
      <c r="R48" s="13"/>
      <c r="S48" s="37" t="s">
        <v>197</v>
      </c>
      <c r="T48" s="37"/>
      <c r="U48" s="40">
        <v>1</v>
      </c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customFormat="1" ht="60" spans="2:52">
      <c r="B49" s="33">
        <f t="shared" si="10"/>
        <v>45</v>
      </c>
      <c r="C49" s="59"/>
      <c r="D49" s="60" t="s">
        <v>288</v>
      </c>
      <c r="E49" s="61" t="s">
        <v>111</v>
      </c>
      <c r="F49" s="60" t="s">
        <v>113</v>
      </c>
      <c r="G49" s="60"/>
      <c r="H49" s="38" t="s">
        <v>182</v>
      </c>
      <c r="I49" s="62"/>
      <c r="J49" s="33" t="s">
        <v>183</v>
      </c>
      <c r="K49" s="40">
        <f t="shared" si="11"/>
        <v>0</v>
      </c>
      <c r="L49" s="36">
        <f t="shared" si="9"/>
        <v>20</v>
      </c>
      <c r="M49" s="63"/>
      <c r="N49" s="63"/>
      <c r="O49" s="63"/>
      <c r="P49" s="63"/>
      <c r="Q49" s="63"/>
      <c r="R49" s="63">
        <v>20</v>
      </c>
      <c r="S49" s="64" t="s">
        <v>194</v>
      </c>
      <c r="T49" s="64"/>
      <c r="U49" s="65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</row>
    <row r="50" customFormat="1" ht="60" spans="2:52">
      <c r="B50" s="33">
        <f t="shared" si="10"/>
        <v>46</v>
      </c>
      <c r="C50" s="59"/>
      <c r="D50" s="60" t="s">
        <v>289</v>
      </c>
      <c r="E50" s="61" t="s">
        <v>111</v>
      </c>
      <c r="F50" s="60" t="s">
        <v>116</v>
      </c>
      <c r="G50" s="60"/>
      <c r="H50" s="61" t="s">
        <v>206</v>
      </c>
      <c r="I50" s="62"/>
      <c r="J50" s="33" t="s">
        <v>183</v>
      </c>
      <c r="K50" s="40">
        <f t="shared" si="11"/>
        <v>0</v>
      </c>
      <c r="L50" s="36">
        <f t="shared" si="9"/>
        <v>50</v>
      </c>
      <c r="M50" s="63"/>
      <c r="N50" s="63"/>
      <c r="O50" s="63"/>
      <c r="P50" s="63"/>
      <c r="Q50" s="63"/>
      <c r="R50" s="63">
        <v>50</v>
      </c>
      <c r="S50" s="64" t="s">
        <v>194</v>
      </c>
      <c r="T50" s="64"/>
      <c r="U50" s="65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</row>
    <row r="51" ht="65.4" customHeight="1" spans="2:52">
      <c r="B51" s="33">
        <f t="shared" si="10"/>
        <v>47</v>
      </c>
      <c r="C51" s="59"/>
      <c r="D51" s="66" t="s">
        <v>117</v>
      </c>
      <c r="E51" s="62" t="s">
        <v>22</v>
      </c>
      <c r="F51" s="67" t="s">
        <v>119</v>
      </c>
      <c r="G51" s="67"/>
      <c r="H51" s="62" t="s">
        <v>182</v>
      </c>
      <c r="I51" s="66" t="s">
        <v>290</v>
      </c>
      <c r="J51" s="59" t="s">
        <v>183</v>
      </c>
      <c r="K51" s="40">
        <f t="shared" si="11"/>
        <v>1</v>
      </c>
      <c r="L51" s="36">
        <f t="shared" si="9"/>
        <v>1</v>
      </c>
      <c r="M51" s="63"/>
      <c r="N51" s="63"/>
      <c r="O51" s="63"/>
      <c r="P51" s="63"/>
      <c r="Q51" s="63"/>
      <c r="R51" s="63"/>
      <c r="S51" s="64" t="s">
        <v>194</v>
      </c>
      <c r="T51" s="64"/>
      <c r="U51" s="65">
        <v>1</v>
      </c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</row>
    <row r="52" ht="90" spans="2:52">
      <c r="B52" s="33">
        <f t="shared" si="10"/>
        <v>48</v>
      </c>
      <c r="C52" s="59"/>
      <c r="D52" s="66" t="s">
        <v>291</v>
      </c>
      <c r="E52" s="61" t="s">
        <v>22</v>
      </c>
      <c r="F52" s="67" t="s">
        <v>121</v>
      </c>
      <c r="G52" s="67"/>
      <c r="H52" s="62" t="s">
        <v>182</v>
      </c>
      <c r="I52" s="66" t="s">
        <v>292</v>
      </c>
      <c r="J52" s="59" t="s">
        <v>183</v>
      </c>
      <c r="K52" s="40">
        <f t="shared" si="11"/>
        <v>8</v>
      </c>
      <c r="L52" s="36">
        <f t="shared" si="9"/>
        <v>8</v>
      </c>
      <c r="M52" s="63"/>
      <c r="N52" s="63"/>
      <c r="O52" s="63"/>
      <c r="P52" s="63"/>
      <c r="Q52" s="63"/>
      <c r="R52" s="63"/>
      <c r="S52" s="64" t="s">
        <v>194</v>
      </c>
      <c r="T52" s="64"/>
      <c r="U52" s="65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>
        <v>-8</v>
      </c>
      <c r="AY52" s="62"/>
      <c r="AZ52" s="62"/>
    </row>
    <row r="53" ht="80.4" customHeight="1" spans="2:52">
      <c r="B53" s="33">
        <f t="shared" si="10"/>
        <v>49</v>
      </c>
      <c r="C53" s="59"/>
      <c r="D53" s="66" t="s">
        <v>293</v>
      </c>
      <c r="E53" s="61" t="s">
        <v>294</v>
      </c>
      <c r="F53" s="67" t="s">
        <v>124</v>
      </c>
      <c r="G53" s="67"/>
      <c r="H53" s="62" t="s">
        <v>182</v>
      </c>
      <c r="I53" s="66" t="s">
        <v>292</v>
      </c>
      <c r="J53" s="59" t="s">
        <v>183</v>
      </c>
      <c r="K53" s="40">
        <f t="shared" si="11"/>
        <v>12</v>
      </c>
      <c r="L53" s="36">
        <f t="shared" si="9"/>
        <v>0</v>
      </c>
      <c r="M53" s="63"/>
      <c r="N53" s="63"/>
      <c r="O53" s="63"/>
      <c r="P53" s="63">
        <v>12</v>
      </c>
      <c r="Q53" s="63"/>
      <c r="R53" s="63"/>
      <c r="S53" s="64" t="s">
        <v>194</v>
      </c>
      <c r="T53" s="64"/>
      <c r="U53" s="65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>
        <v>-12</v>
      </c>
      <c r="AY53" s="62"/>
      <c r="AZ53" s="62"/>
    </row>
    <row r="54" ht="45" spans="2:52">
      <c r="B54" s="33">
        <f t="shared" si="10"/>
        <v>50</v>
      </c>
      <c r="C54" s="68"/>
      <c r="D54" s="69" t="s">
        <v>125</v>
      </c>
      <c r="E54" s="70" t="s">
        <v>126</v>
      </c>
      <c r="F54" s="71" t="s">
        <v>129</v>
      </c>
      <c r="G54" s="71"/>
      <c r="H54" s="70" t="s">
        <v>233</v>
      </c>
      <c r="I54" s="72">
        <v>6068</v>
      </c>
      <c r="J54" s="59" t="s">
        <v>183</v>
      </c>
      <c r="K54" s="40">
        <f t="shared" si="11"/>
        <v>0</v>
      </c>
      <c r="L54" s="36">
        <f t="shared" si="9"/>
        <v>20</v>
      </c>
      <c r="M54" s="73"/>
      <c r="N54" s="73"/>
      <c r="O54" s="73"/>
      <c r="P54" s="73"/>
      <c r="Q54" s="73"/>
      <c r="R54" s="73">
        <v>20</v>
      </c>
      <c r="S54" s="70" t="s">
        <v>234</v>
      </c>
      <c r="T54" s="74"/>
      <c r="U54" s="75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</row>
    <row r="55" ht="56.25" spans="2:52">
      <c r="B55" s="33">
        <f t="shared" si="10"/>
        <v>51</v>
      </c>
      <c r="C55" s="68"/>
      <c r="D55" s="69" t="s">
        <v>295</v>
      </c>
      <c r="E55" s="70" t="s">
        <v>133</v>
      </c>
      <c r="F55" s="71" t="s">
        <v>134</v>
      </c>
      <c r="G55" s="71"/>
      <c r="H55" s="70" t="s">
        <v>182</v>
      </c>
      <c r="I55" s="72">
        <v>6068</v>
      </c>
      <c r="J55" s="59" t="s">
        <v>183</v>
      </c>
      <c r="K55" s="40">
        <f t="shared" si="11"/>
        <v>0</v>
      </c>
      <c r="L55" s="36">
        <f t="shared" si="9"/>
        <v>50</v>
      </c>
      <c r="M55" s="73"/>
      <c r="N55" s="73"/>
      <c r="O55" s="73"/>
      <c r="P55" s="73"/>
      <c r="Q55" s="73"/>
      <c r="R55" s="73">
        <v>50</v>
      </c>
      <c r="S55" s="70" t="s">
        <v>197</v>
      </c>
      <c r="T55" s="74"/>
      <c r="U55" s="75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</row>
    <row r="56" s="4" customFormat="1" ht="25.95" customHeight="1" spans="2:52">
      <c r="B56" s="76" t="s">
        <v>296</v>
      </c>
      <c r="C56" s="77"/>
      <c r="D56" s="77"/>
      <c r="E56" s="77"/>
      <c r="F56" s="77"/>
      <c r="G56" s="77"/>
      <c r="H56" s="77"/>
      <c r="I56" s="77"/>
      <c r="J56" s="78"/>
      <c r="K56" s="79">
        <f>SUM(K57:K106)</f>
        <v>9548</v>
      </c>
      <c r="L56" s="80">
        <f>K56+R56-M56-N56-O56-Q56</f>
        <v>9548</v>
      </c>
      <c r="M56" s="81"/>
      <c r="N56" s="81"/>
      <c r="O56" s="81"/>
      <c r="P56" s="81"/>
      <c r="Q56" s="81"/>
      <c r="R56" s="81"/>
      <c r="S56" s="82"/>
      <c r="T56" s="82"/>
      <c r="U56" s="79">
        <f>SUM(U57:U106)</f>
        <v>10603</v>
      </c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</row>
    <row r="57" ht="40.5" spans="2:52">
      <c r="B57" s="33">
        <f>ROW()-4</f>
        <v>53</v>
      </c>
      <c r="C57" s="33"/>
      <c r="D57" s="33" t="s">
        <v>297</v>
      </c>
      <c r="E57" s="33" t="s">
        <v>298</v>
      </c>
      <c r="F57" s="33" t="s">
        <v>299</v>
      </c>
      <c r="G57" s="33"/>
      <c r="H57" s="33" t="s">
        <v>300</v>
      </c>
      <c r="I57" s="33" t="s">
        <v>215</v>
      </c>
      <c r="J57" s="33" t="s">
        <v>183</v>
      </c>
      <c r="K57" s="22">
        <f t="shared" ref="K57:K66" si="12">U57-SUM(V57:AZ57)</f>
        <v>29</v>
      </c>
      <c r="L57" s="36">
        <f t="shared" ref="L57:L66" si="13">K57+R57-SUM(M57:Q57)</f>
        <v>29</v>
      </c>
      <c r="M57" s="13"/>
      <c r="N57" s="13"/>
      <c r="O57" s="13"/>
      <c r="P57" s="13"/>
      <c r="Q57" s="13"/>
      <c r="R57" s="13"/>
      <c r="S57" s="37"/>
      <c r="T57" s="37"/>
      <c r="U57" s="22">
        <v>33</v>
      </c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>
        <v>2</v>
      </c>
      <c r="AP57" s="33"/>
      <c r="AQ57" s="33"/>
      <c r="AR57" s="33"/>
      <c r="AS57" s="33"/>
      <c r="AT57" s="33"/>
      <c r="AU57" s="33">
        <v>2</v>
      </c>
      <c r="AV57" s="33"/>
      <c r="AW57" s="33"/>
      <c r="AX57" s="33"/>
      <c r="AY57" s="33"/>
      <c r="AZ57" s="33"/>
    </row>
    <row r="58" ht="40.5" spans="2:52">
      <c r="B58" s="33">
        <f t="shared" ref="B58:B69" si="14">ROW()-4</f>
        <v>54</v>
      </c>
      <c r="C58" s="33"/>
      <c r="D58" s="33" t="s">
        <v>301</v>
      </c>
      <c r="E58" s="33" t="s">
        <v>298</v>
      </c>
      <c r="F58" s="33" t="s">
        <v>302</v>
      </c>
      <c r="G58" s="33"/>
      <c r="H58" s="33" t="s">
        <v>300</v>
      </c>
      <c r="I58" s="33" t="s">
        <v>215</v>
      </c>
      <c r="J58" s="33" t="s">
        <v>183</v>
      </c>
      <c r="K58" s="22">
        <f t="shared" si="12"/>
        <v>6</v>
      </c>
      <c r="L58" s="36">
        <f t="shared" si="13"/>
        <v>6</v>
      </c>
      <c r="M58" s="13"/>
      <c r="N58" s="13"/>
      <c r="O58" s="13"/>
      <c r="P58" s="13"/>
      <c r="Q58" s="13"/>
      <c r="R58" s="13"/>
      <c r="S58" s="37"/>
      <c r="T58" s="37"/>
      <c r="U58" s="22">
        <v>7</v>
      </c>
      <c r="V58" s="33"/>
      <c r="W58" s="33"/>
      <c r="X58" s="33"/>
      <c r="Y58" s="33"/>
      <c r="Z58" s="33"/>
      <c r="AA58" s="33"/>
      <c r="AB58" s="33"/>
      <c r="AC58" s="33"/>
      <c r="AD58" s="33">
        <v>1</v>
      </c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</row>
    <row r="59" ht="40.5" spans="2:52">
      <c r="B59" s="33">
        <f t="shared" si="14"/>
        <v>55</v>
      </c>
      <c r="C59" s="59"/>
      <c r="D59" s="66" t="s">
        <v>303</v>
      </c>
      <c r="E59" s="33" t="s">
        <v>298</v>
      </c>
      <c r="F59" s="66" t="s">
        <v>304</v>
      </c>
      <c r="G59" s="66"/>
      <c r="H59" s="66" t="s">
        <v>305</v>
      </c>
      <c r="I59" s="33" t="s">
        <v>215</v>
      </c>
      <c r="J59" s="33" t="s">
        <v>183</v>
      </c>
      <c r="K59" s="22">
        <f t="shared" si="12"/>
        <v>0</v>
      </c>
      <c r="L59" s="36">
        <f t="shared" si="13"/>
        <v>0</v>
      </c>
      <c r="M59" s="63"/>
      <c r="N59" s="63"/>
      <c r="O59" s="63"/>
      <c r="P59" s="63"/>
      <c r="Q59" s="63"/>
      <c r="R59" s="63"/>
      <c r="S59" s="61"/>
      <c r="T59" s="64"/>
      <c r="U59" s="14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</row>
    <row r="60" ht="39.15" customHeight="1" spans="2:52">
      <c r="B60" s="33">
        <f t="shared" si="14"/>
        <v>56</v>
      </c>
      <c r="C60" s="59"/>
      <c r="D60" s="59" t="s">
        <v>306</v>
      </c>
      <c r="E60" s="59" t="s">
        <v>307</v>
      </c>
      <c r="F60" s="59" t="s">
        <v>308</v>
      </c>
      <c r="G60" s="59"/>
      <c r="H60" s="59" t="s">
        <v>215</v>
      </c>
      <c r="I60" s="59" t="s">
        <v>215</v>
      </c>
      <c r="J60" s="59" t="s">
        <v>183</v>
      </c>
      <c r="K60" s="22">
        <f t="shared" si="12"/>
        <v>332</v>
      </c>
      <c r="L60" s="36">
        <f t="shared" si="13"/>
        <v>332</v>
      </c>
      <c r="M60" s="63"/>
      <c r="N60" s="63"/>
      <c r="O60" s="63"/>
      <c r="P60" s="63"/>
      <c r="Q60" s="63"/>
      <c r="R60" s="63"/>
      <c r="S60" s="64"/>
      <c r="T60" s="64"/>
      <c r="U60" s="14">
        <v>332</v>
      </c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</row>
    <row r="61" ht="54" spans="2:52">
      <c r="B61" s="33">
        <f t="shared" si="14"/>
        <v>57</v>
      </c>
      <c r="C61" s="68"/>
      <c r="D61" s="72" t="s">
        <v>309</v>
      </c>
      <c r="E61" s="59" t="s">
        <v>307</v>
      </c>
      <c r="F61" s="84" t="s">
        <v>310</v>
      </c>
      <c r="G61" s="85"/>
      <c r="H61" s="59" t="s">
        <v>215</v>
      </c>
      <c r="I61" s="59" t="s">
        <v>215</v>
      </c>
      <c r="J61" s="59" t="s">
        <v>183</v>
      </c>
      <c r="K61" s="22">
        <f t="shared" si="12"/>
        <v>15</v>
      </c>
      <c r="L61" s="36">
        <f t="shared" si="13"/>
        <v>15</v>
      </c>
      <c r="M61" s="74"/>
      <c r="N61" s="74"/>
      <c r="O61" s="74"/>
      <c r="P61" s="74"/>
      <c r="Q61" s="74"/>
      <c r="R61" s="74"/>
      <c r="S61" s="74"/>
      <c r="T61" s="74"/>
      <c r="U61" s="86">
        <v>15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</row>
    <row r="62" ht="27" customHeight="1" spans="2:52">
      <c r="B62" s="33">
        <f t="shared" si="14"/>
        <v>58</v>
      </c>
      <c r="C62" s="68"/>
      <c r="D62" s="72" t="s">
        <v>311</v>
      </c>
      <c r="E62" s="70" t="s">
        <v>312</v>
      </c>
      <c r="F62" s="84" t="s">
        <v>313</v>
      </c>
      <c r="G62" s="84"/>
      <c r="H62" s="87" t="s">
        <v>215</v>
      </c>
      <c r="I62" s="87">
        <v>7068</v>
      </c>
      <c r="J62" s="87" t="s">
        <v>183</v>
      </c>
      <c r="K62" s="22">
        <f t="shared" si="12"/>
        <v>25</v>
      </c>
      <c r="L62" s="36">
        <f t="shared" si="13"/>
        <v>25</v>
      </c>
      <c r="M62" s="74"/>
      <c r="N62" s="74"/>
      <c r="O62" s="74"/>
      <c r="P62" s="74"/>
      <c r="Q62" s="74"/>
      <c r="R62" s="74"/>
      <c r="S62" s="74"/>
      <c r="T62" s="74"/>
      <c r="U62" s="75">
        <v>25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</row>
    <row r="63" ht="27" customHeight="1" spans="2:52">
      <c r="B63" s="33">
        <f t="shared" si="14"/>
        <v>59</v>
      </c>
      <c r="C63" s="68"/>
      <c r="D63" s="88" t="s">
        <v>314</v>
      </c>
      <c r="E63" s="89" t="s">
        <v>312</v>
      </c>
      <c r="F63" s="90" t="s">
        <v>315</v>
      </c>
      <c r="G63" s="90"/>
      <c r="H63" s="91" t="s">
        <v>215</v>
      </c>
      <c r="I63" s="88">
        <v>6068</v>
      </c>
      <c r="J63" s="91" t="s">
        <v>183</v>
      </c>
      <c r="K63" s="22">
        <f t="shared" si="12"/>
        <v>13</v>
      </c>
      <c r="L63" s="36">
        <f t="shared" si="13"/>
        <v>13</v>
      </c>
      <c r="M63" s="92"/>
      <c r="N63" s="92"/>
      <c r="O63" s="92"/>
      <c r="P63" s="92"/>
      <c r="Q63" s="92"/>
      <c r="R63" s="92"/>
      <c r="S63" s="92"/>
      <c r="T63" s="92"/>
      <c r="U63" s="86">
        <v>13</v>
      </c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</row>
    <row r="64" ht="40.5" spans="2:52">
      <c r="B64" s="33">
        <f t="shared" si="14"/>
        <v>60</v>
      </c>
      <c r="C64" s="68"/>
      <c r="D64" s="72" t="s">
        <v>316</v>
      </c>
      <c r="E64" s="89" t="s">
        <v>312</v>
      </c>
      <c r="F64" s="84" t="s">
        <v>317</v>
      </c>
      <c r="G64" s="93"/>
      <c r="H64" s="91" t="s">
        <v>215</v>
      </c>
      <c r="I64" s="88">
        <v>6068</v>
      </c>
      <c r="J64" s="91" t="s">
        <v>183</v>
      </c>
      <c r="K64" s="22">
        <f t="shared" si="12"/>
        <v>20</v>
      </c>
      <c r="L64" s="36">
        <f t="shared" si="13"/>
        <v>20</v>
      </c>
      <c r="M64" s="74"/>
      <c r="N64" s="74"/>
      <c r="O64" s="74"/>
      <c r="P64" s="74"/>
      <c r="Q64" s="74"/>
      <c r="R64" s="74"/>
      <c r="S64" s="74"/>
      <c r="T64" s="74"/>
      <c r="U64" s="86">
        <v>20</v>
      </c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</row>
    <row r="65" ht="27" spans="2:52">
      <c r="B65" s="33">
        <f t="shared" si="14"/>
        <v>61</v>
      </c>
      <c r="C65" s="68"/>
      <c r="D65" s="70" t="s">
        <v>318</v>
      </c>
      <c r="E65" s="90" t="s">
        <v>319</v>
      </c>
      <c r="F65" s="84" t="s">
        <v>320</v>
      </c>
      <c r="G65" s="93"/>
      <c r="H65" s="90" t="s">
        <v>182</v>
      </c>
      <c r="I65" s="88"/>
      <c r="J65" s="70" t="s">
        <v>321</v>
      </c>
      <c r="K65" s="22">
        <f t="shared" si="12"/>
        <v>0</v>
      </c>
      <c r="L65" s="36">
        <f t="shared" si="13"/>
        <v>0</v>
      </c>
      <c r="M65" s="74"/>
      <c r="N65" s="74"/>
      <c r="O65" s="74"/>
      <c r="P65" s="74"/>
      <c r="Q65" s="74"/>
      <c r="R65" s="74"/>
      <c r="S65" s="70" t="s">
        <v>194</v>
      </c>
      <c r="T65" s="74"/>
      <c r="U65" s="86">
        <v>0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>
        <v>-100</v>
      </c>
      <c r="AW65" s="72">
        <v>100</v>
      </c>
      <c r="AX65" s="72"/>
      <c r="AY65" s="72"/>
      <c r="AZ65" s="72"/>
    </row>
    <row r="66" ht="27" spans="2:52">
      <c r="B66" s="33">
        <f t="shared" si="14"/>
        <v>62</v>
      </c>
      <c r="C66" s="68"/>
      <c r="D66" s="70" t="s">
        <v>322</v>
      </c>
      <c r="E66" s="90" t="s">
        <v>323</v>
      </c>
      <c r="F66" s="84" t="s">
        <v>320</v>
      </c>
      <c r="G66" s="93"/>
      <c r="H66" s="90" t="s">
        <v>182</v>
      </c>
      <c r="I66" s="88"/>
      <c r="J66" s="70" t="s">
        <v>321</v>
      </c>
      <c r="K66" s="22">
        <f t="shared" si="12"/>
        <v>0</v>
      </c>
      <c r="L66" s="36">
        <f t="shared" si="13"/>
        <v>0</v>
      </c>
      <c r="M66" s="74"/>
      <c r="N66" s="74"/>
      <c r="O66" s="74"/>
      <c r="P66" s="74"/>
      <c r="Q66" s="74"/>
      <c r="R66" s="74"/>
      <c r="S66" s="70" t="s">
        <v>194</v>
      </c>
      <c r="T66" s="74"/>
      <c r="U66" s="86">
        <v>0</v>
      </c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>
        <v>-100</v>
      </c>
      <c r="AW66" s="72">
        <v>100</v>
      </c>
      <c r="AX66" s="72"/>
      <c r="AY66" s="72"/>
      <c r="AZ66" s="72"/>
    </row>
    <row r="67" ht="27" spans="2:52">
      <c r="B67" s="33">
        <f t="shared" si="14"/>
        <v>63</v>
      </c>
      <c r="C67" s="68"/>
      <c r="D67" s="72" t="s">
        <v>324</v>
      </c>
      <c r="E67" s="72"/>
      <c r="F67" s="84" t="s">
        <v>325</v>
      </c>
      <c r="G67" s="84"/>
      <c r="H67" s="70" t="s">
        <v>206</v>
      </c>
      <c r="I67" s="72"/>
      <c r="J67" s="70" t="s">
        <v>321</v>
      </c>
      <c r="K67" s="22">
        <f t="shared" ref="K67:K106" si="15">U67-SUM(V67:AZ67)</f>
        <v>456</v>
      </c>
      <c r="L67" s="36">
        <f t="shared" ref="L67:L106" si="16">K67+R67-SUM(M67:Q67)</f>
        <v>456</v>
      </c>
      <c r="M67" s="74"/>
      <c r="N67" s="74"/>
      <c r="O67" s="74"/>
      <c r="P67" s="74"/>
      <c r="Q67" s="74"/>
      <c r="R67" s="74"/>
      <c r="S67" s="74"/>
      <c r="T67" s="74"/>
      <c r="U67" s="86">
        <v>456</v>
      </c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</row>
    <row r="68" ht="27" spans="2:52">
      <c r="B68" s="33">
        <f t="shared" si="14"/>
        <v>64</v>
      </c>
      <c r="C68" s="68"/>
      <c r="D68" s="72" t="s">
        <v>326</v>
      </c>
      <c r="E68" s="72"/>
      <c r="F68" s="84" t="s">
        <v>327</v>
      </c>
      <c r="G68" s="84"/>
      <c r="H68" s="70" t="s">
        <v>328</v>
      </c>
      <c r="I68" s="72"/>
      <c r="J68" s="70" t="s">
        <v>321</v>
      </c>
      <c r="K68" s="22">
        <f t="shared" si="15"/>
        <v>1276</v>
      </c>
      <c r="L68" s="36">
        <f t="shared" si="16"/>
        <v>1276</v>
      </c>
      <c r="M68" s="74"/>
      <c r="N68" s="74"/>
      <c r="O68" s="74"/>
      <c r="P68" s="74"/>
      <c r="Q68" s="74"/>
      <c r="R68" s="74"/>
      <c r="S68" s="74"/>
      <c r="T68" s="74"/>
      <c r="U68" s="86">
        <v>1672</v>
      </c>
      <c r="V68" s="72"/>
      <c r="W68" s="72"/>
      <c r="X68" s="72"/>
      <c r="Y68" s="72"/>
      <c r="Z68" s="72"/>
      <c r="AA68" s="72"/>
      <c r="AB68" s="72"/>
      <c r="AC68" s="72"/>
      <c r="AD68" s="72"/>
      <c r="AE68" s="72">
        <v>396</v>
      </c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</row>
    <row r="69" ht="27" spans="2:52">
      <c r="B69" s="33">
        <f t="shared" si="14"/>
        <v>65</v>
      </c>
      <c r="C69" s="68"/>
      <c r="D69" s="72" t="s">
        <v>329</v>
      </c>
      <c r="E69" s="72"/>
      <c r="F69" s="84" t="s">
        <v>330</v>
      </c>
      <c r="G69" s="84"/>
      <c r="H69" s="70" t="s">
        <v>182</v>
      </c>
      <c r="I69" s="72"/>
      <c r="J69" s="70" t="s">
        <v>321</v>
      </c>
      <c r="K69" s="22">
        <f t="shared" si="15"/>
        <v>6</v>
      </c>
      <c r="L69" s="36">
        <f t="shared" si="16"/>
        <v>6</v>
      </c>
      <c r="M69" s="74"/>
      <c r="N69" s="74"/>
      <c r="O69" s="74"/>
      <c r="P69" s="74"/>
      <c r="Q69" s="74"/>
      <c r="R69" s="74"/>
      <c r="S69" s="74"/>
      <c r="T69" s="74"/>
      <c r="U69" s="86">
        <v>714</v>
      </c>
      <c r="V69" s="72"/>
      <c r="W69" s="72"/>
      <c r="X69" s="72"/>
      <c r="Y69" s="72"/>
      <c r="Z69" s="72"/>
      <c r="AA69" s="72"/>
      <c r="AB69" s="72"/>
      <c r="AC69" s="72"/>
      <c r="AD69" s="72"/>
      <c r="AE69" s="72">
        <v>708</v>
      </c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</row>
    <row r="70" ht="27" spans="2:52">
      <c r="B70" s="33">
        <f t="shared" ref="B70:B79" si="17">ROW()-4</f>
        <v>66</v>
      </c>
      <c r="C70" s="68"/>
      <c r="D70" s="72" t="s">
        <v>331</v>
      </c>
      <c r="E70" s="72"/>
      <c r="F70" s="84" t="s">
        <v>332</v>
      </c>
      <c r="G70" s="84"/>
      <c r="H70" s="70" t="s">
        <v>333</v>
      </c>
      <c r="I70" s="72"/>
      <c r="J70" s="70" t="s">
        <v>321</v>
      </c>
      <c r="K70" s="22">
        <f t="shared" si="15"/>
        <v>198</v>
      </c>
      <c r="L70" s="36">
        <f t="shared" si="16"/>
        <v>198</v>
      </c>
      <c r="M70" s="74"/>
      <c r="N70" s="74"/>
      <c r="O70" s="74"/>
      <c r="P70" s="74"/>
      <c r="Q70" s="74"/>
      <c r="R70" s="74"/>
      <c r="S70" s="74"/>
      <c r="T70" s="74"/>
      <c r="U70" s="86">
        <v>198</v>
      </c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</row>
    <row r="71" ht="40.5" spans="2:52">
      <c r="B71" s="33">
        <f t="shared" si="17"/>
        <v>67</v>
      </c>
      <c r="C71" s="68"/>
      <c r="D71" s="72" t="s">
        <v>334</v>
      </c>
      <c r="E71" s="72"/>
      <c r="F71" s="84" t="s">
        <v>335</v>
      </c>
      <c r="G71" s="84"/>
      <c r="H71" s="70" t="s">
        <v>328</v>
      </c>
      <c r="I71" s="72"/>
      <c r="J71" s="70" t="s">
        <v>321</v>
      </c>
      <c r="K71" s="22">
        <f t="shared" si="15"/>
        <v>60</v>
      </c>
      <c r="L71" s="36">
        <f t="shared" si="16"/>
        <v>60</v>
      </c>
      <c r="M71" s="74"/>
      <c r="N71" s="74"/>
      <c r="O71" s="74"/>
      <c r="P71" s="74"/>
      <c r="Q71" s="74"/>
      <c r="R71" s="74"/>
      <c r="S71" s="74"/>
      <c r="T71" s="74"/>
      <c r="U71" s="86">
        <v>60</v>
      </c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</row>
    <row r="72" ht="24.6" customHeight="1" spans="2:52">
      <c r="B72" s="33">
        <f t="shared" si="17"/>
        <v>68</v>
      </c>
      <c r="C72" s="68"/>
      <c r="D72" s="72" t="s">
        <v>336</v>
      </c>
      <c r="E72" s="72"/>
      <c r="F72" s="69" t="s">
        <v>337</v>
      </c>
      <c r="G72" s="69"/>
      <c r="H72" s="72"/>
      <c r="I72" s="72"/>
      <c r="J72" s="70" t="s">
        <v>321</v>
      </c>
      <c r="K72" s="22">
        <f t="shared" si="15"/>
        <v>8</v>
      </c>
      <c r="L72" s="36">
        <f t="shared" si="16"/>
        <v>8</v>
      </c>
      <c r="M72" s="74"/>
      <c r="N72" s="74"/>
      <c r="O72" s="74"/>
      <c r="P72" s="74"/>
      <c r="Q72" s="74"/>
      <c r="R72" s="74"/>
      <c r="S72" s="74"/>
      <c r="T72" s="74"/>
      <c r="U72" s="86">
        <v>8</v>
      </c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</row>
    <row r="73" ht="27" spans="2:52">
      <c r="B73" s="33">
        <f t="shared" si="17"/>
        <v>69</v>
      </c>
      <c r="C73" s="68"/>
      <c r="D73" s="72" t="s">
        <v>338</v>
      </c>
      <c r="E73" s="72"/>
      <c r="F73" s="69" t="s">
        <v>339</v>
      </c>
      <c r="G73" s="69"/>
      <c r="H73" s="72"/>
      <c r="I73" s="72"/>
      <c r="J73" s="70" t="s">
        <v>321</v>
      </c>
      <c r="K73" s="22">
        <f t="shared" si="15"/>
        <v>3300</v>
      </c>
      <c r="L73" s="36">
        <f t="shared" si="16"/>
        <v>3300</v>
      </c>
      <c r="M73" s="74"/>
      <c r="N73" s="74"/>
      <c r="O73" s="74"/>
      <c r="P73" s="74"/>
      <c r="Q73" s="74"/>
      <c r="R73" s="74"/>
      <c r="S73" s="74"/>
      <c r="T73" s="74"/>
      <c r="U73" s="86">
        <v>3300</v>
      </c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</row>
    <row r="74" ht="27" spans="2:52">
      <c r="B74" s="33">
        <f t="shared" si="17"/>
        <v>70</v>
      </c>
      <c r="C74" s="68"/>
      <c r="D74" s="72" t="s">
        <v>340</v>
      </c>
      <c r="E74" s="72"/>
      <c r="F74" s="84" t="s">
        <v>341</v>
      </c>
      <c r="G74" s="84"/>
      <c r="H74" s="72"/>
      <c r="I74" s="72"/>
      <c r="J74" s="70" t="s">
        <v>321</v>
      </c>
      <c r="K74" s="22">
        <f t="shared" si="15"/>
        <v>20</v>
      </c>
      <c r="L74" s="36">
        <f t="shared" si="16"/>
        <v>20</v>
      </c>
      <c r="M74" s="74"/>
      <c r="N74" s="74"/>
      <c r="O74" s="74"/>
      <c r="P74" s="74"/>
      <c r="Q74" s="74"/>
      <c r="R74" s="74"/>
      <c r="S74" s="74"/>
      <c r="T74" s="74"/>
      <c r="U74" s="86">
        <v>20</v>
      </c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</row>
    <row r="75" ht="27" spans="2:52">
      <c r="B75" s="33">
        <f t="shared" si="17"/>
        <v>71</v>
      </c>
      <c r="C75" s="68"/>
      <c r="D75" s="72" t="s">
        <v>342</v>
      </c>
      <c r="E75" s="72"/>
      <c r="F75" s="84" t="s">
        <v>343</v>
      </c>
      <c r="G75" s="84"/>
      <c r="H75" s="72"/>
      <c r="I75" s="72"/>
      <c r="J75" s="70" t="s">
        <v>321</v>
      </c>
      <c r="K75" s="22">
        <f t="shared" si="15"/>
        <v>131</v>
      </c>
      <c r="L75" s="36">
        <f t="shared" si="16"/>
        <v>131</v>
      </c>
      <c r="M75" s="74"/>
      <c r="N75" s="74"/>
      <c r="O75" s="74"/>
      <c r="P75" s="74"/>
      <c r="Q75" s="74"/>
      <c r="R75" s="74"/>
      <c r="S75" s="74"/>
      <c r="T75" s="74"/>
      <c r="U75" s="86">
        <v>138</v>
      </c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>
        <v>1</v>
      </c>
      <c r="AG75" s="72"/>
      <c r="AH75" s="72"/>
      <c r="AI75" s="72"/>
      <c r="AJ75" s="72"/>
      <c r="AK75" s="72">
        <v>6</v>
      </c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</row>
    <row r="76" ht="27" spans="2:52">
      <c r="B76" s="33">
        <f t="shared" si="17"/>
        <v>72</v>
      </c>
      <c r="C76" s="68"/>
      <c r="D76" s="72" t="s">
        <v>344</v>
      </c>
      <c r="E76" s="72"/>
      <c r="F76" s="84" t="s">
        <v>345</v>
      </c>
      <c r="G76" s="84"/>
      <c r="H76" s="72"/>
      <c r="I76" s="72"/>
      <c r="J76" s="70" t="s">
        <v>321</v>
      </c>
      <c r="K76" s="22">
        <f t="shared" si="15"/>
        <v>10</v>
      </c>
      <c r="L76" s="36">
        <f t="shared" si="16"/>
        <v>10</v>
      </c>
      <c r="M76" s="74"/>
      <c r="N76" s="74"/>
      <c r="O76" s="74"/>
      <c r="P76" s="74"/>
      <c r="Q76" s="74"/>
      <c r="R76" s="74"/>
      <c r="S76" s="74"/>
      <c r="T76" s="74"/>
      <c r="U76" s="86">
        <v>10</v>
      </c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</row>
    <row r="77" ht="40.5" spans="2:52">
      <c r="B77" s="33">
        <f t="shared" si="17"/>
        <v>73</v>
      </c>
      <c r="C77" s="68"/>
      <c r="D77" s="72" t="s">
        <v>346</v>
      </c>
      <c r="E77" s="72"/>
      <c r="F77" s="84" t="s">
        <v>347</v>
      </c>
      <c r="G77" s="84"/>
      <c r="H77" s="72"/>
      <c r="I77" s="72"/>
      <c r="J77" s="70" t="s">
        <v>321</v>
      </c>
      <c r="K77" s="22">
        <f t="shared" si="15"/>
        <v>53</v>
      </c>
      <c r="L77" s="36">
        <f t="shared" si="16"/>
        <v>53</v>
      </c>
      <c r="M77" s="74"/>
      <c r="N77" s="74"/>
      <c r="O77" s="74"/>
      <c r="P77" s="74"/>
      <c r="Q77" s="74"/>
      <c r="R77" s="74"/>
      <c r="S77" s="74"/>
      <c r="T77" s="74"/>
      <c r="U77" s="86">
        <v>53</v>
      </c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</row>
    <row r="78" ht="40.5" spans="2:52">
      <c r="B78" s="33">
        <f t="shared" si="17"/>
        <v>74</v>
      </c>
      <c r="C78" s="68"/>
      <c r="D78" s="72" t="s">
        <v>348</v>
      </c>
      <c r="E78" s="72"/>
      <c r="F78" s="84" t="s">
        <v>349</v>
      </c>
      <c r="G78" s="84"/>
      <c r="H78" s="72"/>
      <c r="I78" s="72"/>
      <c r="J78" s="70" t="s">
        <v>321</v>
      </c>
      <c r="K78" s="22">
        <f t="shared" si="15"/>
        <v>89</v>
      </c>
      <c r="L78" s="36">
        <f t="shared" si="16"/>
        <v>89</v>
      </c>
      <c r="M78" s="74"/>
      <c r="N78" s="74"/>
      <c r="O78" s="74"/>
      <c r="P78" s="74"/>
      <c r="Q78" s="74"/>
      <c r="R78" s="74"/>
      <c r="S78" s="74"/>
      <c r="T78" s="74"/>
      <c r="U78" s="86">
        <v>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</row>
    <row r="79" ht="40.5" spans="2:52">
      <c r="B79" s="33">
        <f t="shared" si="17"/>
        <v>75</v>
      </c>
      <c r="C79" s="68"/>
      <c r="D79" s="72" t="s">
        <v>350</v>
      </c>
      <c r="E79" s="72"/>
      <c r="F79" s="84" t="s">
        <v>351</v>
      </c>
      <c r="G79" s="84"/>
      <c r="H79" s="72"/>
      <c r="I79" s="72"/>
      <c r="J79" s="70" t="s">
        <v>321</v>
      </c>
      <c r="K79" s="22">
        <f t="shared" si="15"/>
        <v>126</v>
      </c>
      <c r="L79" s="36">
        <f t="shared" si="16"/>
        <v>126</v>
      </c>
      <c r="M79" s="74"/>
      <c r="N79" s="74"/>
      <c r="O79" s="74"/>
      <c r="P79" s="74"/>
      <c r="Q79" s="74"/>
      <c r="R79" s="74"/>
      <c r="S79" s="74"/>
      <c r="T79" s="74"/>
      <c r="U79" s="86">
        <v>126</v>
      </c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</row>
    <row r="80" ht="27" spans="2:52">
      <c r="B80" s="33">
        <f t="shared" ref="B80:B89" si="18">ROW()-4</f>
        <v>76</v>
      </c>
      <c r="C80" s="68"/>
      <c r="D80" s="72" t="s">
        <v>352</v>
      </c>
      <c r="E80" s="72"/>
      <c r="F80" s="84" t="s">
        <v>353</v>
      </c>
      <c r="G80" s="84"/>
      <c r="H80" s="72"/>
      <c r="I80" s="72"/>
      <c r="J80" s="70" t="s">
        <v>321</v>
      </c>
      <c r="K80" s="22">
        <f t="shared" si="15"/>
        <v>1000</v>
      </c>
      <c r="L80" s="36">
        <f t="shared" si="16"/>
        <v>1000</v>
      </c>
      <c r="M80" s="74"/>
      <c r="N80" s="74"/>
      <c r="O80" s="74"/>
      <c r="P80" s="74"/>
      <c r="Q80" s="74"/>
      <c r="R80" s="74"/>
      <c r="S80" s="74"/>
      <c r="T80" s="74"/>
      <c r="U80" s="86">
        <v>1000</v>
      </c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</row>
    <row r="81" ht="67.5" spans="2:52">
      <c r="B81" s="33">
        <f t="shared" si="18"/>
        <v>77</v>
      </c>
      <c r="C81" s="68"/>
      <c r="D81" s="72" t="s">
        <v>354</v>
      </c>
      <c r="E81" s="72"/>
      <c r="F81" s="84" t="s">
        <v>355</v>
      </c>
      <c r="G81" s="84"/>
      <c r="H81" s="72"/>
      <c r="I81" s="72"/>
      <c r="J81" s="70" t="s">
        <v>321</v>
      </c>
      <c r="K81" s="22">
        <f t="shared" si="15"/>
        <v>87</v>
      </c>
      <c r="L81" s="36">
        <f t="shared" si="16"/>
        <v>87</v>
      </c>
      <c r="M81" s="74"/>
      <c r="N81" s="74"/>
      <c r="O81" s="74"/>
      <c r="P81" s="74"/>
      <c r="Q81" s="74"/>
      <c r="R81" s="74"/>
      <c r="S81" s="74"/>
      <c r="T81" s="74"/>
      <c r="U81" s="86">
        <v>24</v>
      </c>
      <c r="V81" s="72"/>
      <c r="W81" s="72">
        <v>-66</v>
      </c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>
        <v>1</v>
      </c>
      <c r="AO81" s="72"/>
      <c r="AP81" s="72"/>
      <c r="AQ81" s="72">
        <v>1</v>
      </c>
      <c r="AR81" s="72"/>
      <c r="AS81" s="72"/>
      <c r="AT81" s="72"/>
      <c r="AU81" s="72"/>
      <c r="AV81" s="72"/>
      <c r="AW81" s="72"/>
      <c r="AX81" s="72"/>
      <c r="AY81" s="72">
        <v>1</v>
      </c>
      <c r="AZ81" s="72"/>
    </row>
    <row r="82" ht="40.5" spans="2:52">
      <c r="B82" s="33">
        <f t="shared" si="18"/>
        <v>78</v>
      </c>
      <c r="C82" s="68"/>
      <c r="D82" s="72" t="s">
        <v>356</v>
      </c>
      <c r="E82" s="72"/>
      <c r="F82" s="84" t="s">
        <v>357</v>
      </c>
      <c r="G82" s="84"/>
      <c r="H82" s="72"/>
      <c r="I82" s="72"/>
      <c r="J82" s="70" t="s">
        <v>321</v>
      </c>
      <c r="K82" s="22">
        <f t="shared" si="15"/>
        <v>14</v>
      </c>
      <c r="L82" s="36">
        <f t="shared" si="16"/>
        <v>14</v>
      </c>
      <c r="M82" s="74"/>
      <c r="N82" s="74"/>
      <c r="O82" s="74"/>
      <c r="P82" s="74"/>
      <c r="Q82" s="74"/>
      <c r="R82" s="74"/>
      <c r="S82" s="74"/>
      <c r="T82" s="74"/>
      <c r="U82" s="86">
        <v>14</v>
      </c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</row>
    <row r="83" ht="27" spans="2:52">
      <c r="B83" s="33">
        <f t="shared" si="18"/>
        <v>79</v>
      </c>
      <c r="C83" s="68"/>
      <c r="D83" s="72" t="s">
        <v>358</v>
      </c>
      <c r="E83" s="72"/>
      <c r="F83" s="84" t="s">
        <v>359</v>
      </c>
      <c r="G83" s="84"/>
      <c r="H83" s="72"/>
      <c r="I83" s="72"/>
      <c r="J83" s="70" t="s">
        <v>321</v>
      </c>
      <c r="K83" s="22">
        <f t="shared" si="15"/>
        <v>43</v>
      </c>
      <c r="L83" s="36">
        <f t="shared" si="16"/>
        <v>43</v>
      </c>
      <c r="M83" s="74"/>
      <c r="N83" s="74"/>
      <c r="O83" s="74"/>
      <c r="P83" s="74"/>
      <c r="Q83" s="74"/>
      <c r="R83" s="74"/>
      <c r="S83" s="74"/>
      <c r="T83" s="74"/>
      <c r="U83" s="86">
        <v>43</v>
      </c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</row>
    <row r="84" ht="27" spans="2:52">
      <c r="B84" s="33">
        <f t="shared" si="18"/>
        <v>80</v>
      </c>
      <c r="C84" s="68"/>
      <c r="D84" s="72" t="s">
        <v>360</v>
      </c>
      <c r="E84" s="72"/>
      <c r="F84" s="84" t="s">
        <v>361</v>
      </c>
      <c r="G84" s="84"/>
      <c r="H84" s="72"/>
      <c r="I84" s="72"/>
      <c r="J84" s="70" t="s">
        <v>321</v>
      </c>
      <c r="K84" s="22">
        <f t="shared" si="15"/>
        <v>50</v>
      </c>
      <c r="L84" s="36">
        <f t="shared" si="16"/>
        <v>50</v>
      </c>
      <c r="M84" s="74"/>
      <c r="N84" s="74"/>
      <c r="O84" s="74"/>
      <c r="P84" s="74"/>
      <c r="Q84" s="74"/>
      <c r="R84" s="74"/>
      <c r="S84" s="74"/>
      <c r="T84" s="74"/>
      <c r="U84" s="86">
        <v>50</v>
      </c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</row>
    <row r="85" ht="27" spans="2:52">
      <c r="B85" s="33">
        <f t="shared" si="18"/>
        <v>81</v>
      </c>
      <c r="C85" s="68"/>
      <c r="D85" s="72" t="s">
        <v>362</v>
      </c>
      <c r="E85" s="72"/>
      <c r="F85" s="84" t="s">
        <v>363</v>
      </c>
      <c r="G85" s="84"/>
      <c r="H85" s="72"/>
      <c r="I85" s="72"/>
      <c r="J85" s="70" t="s">
        <v>321</v>
      </c>
      <c r="K85" s="22">
        <f t="shared" si="15"/>
        <v>20</v>
      </c>
      <c r="L85" s="36">
        <f t="shared" si="16"/>
        <v>20</v>
      </c>
      <c r="M85" s="74"/>
      <c r="N85" s="74"/>
      <c r="O85" s="74"/>
      <c r="P85" s="74"/>
      <c r="Q85" s="74"/>
      <c r="R85" s="74"/>
      <c r="S85" s="74"/>
      <c r="T85" s="74"/>
      <c r="U85" s="86">
        <v>20</v>
      </c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</row>
    <row r="86" ht="27" spans="2:52">
      <c r="B86" s="33">
        <f t="shared" si="18"/>
        <v>82</v>
      </c>
      <c r="C86" s="68"/>
      <c r="D86" s="72" t="s">
        <v>364</v>
      </c>
      <c r="E86" s="72"/>
      <c r="F86" s="84" t="s">
        <v>365</v>
      </c>
      <c r="G86" s="84"/>
      <c r="H86" s="72"/>
      <c r="I86" s="72"/>
      <c r="J86" s="70" t="s">
        <v>321</v>
      </c>
      <c r="K86" s="22">
        <f t="shared" si="15"/>
        <v>60</v>
      </c>
      <c r="L86" s="36">
        <f t="shared" si="16"/>
        <v>60</v>
      </c>
      <c r="M86" s="74"/>
      <c r="N86" s="74"/>
      <c r="O86" s="74"/>
      <c r="P86" s="74"/>
      <c r="Q86" s="74"/>
      <c r="R86" s="74"/>
      <c r="S86" s="74"/>
      <c r="T86" s="74"/>
      <c r="U86" s="86">
        <v>60</v>
      </c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</row>
    <row r="87" ht="27" spans="2:52">
      <c r="B87" s="33">
        <f t="shared" si="18"/>
        <v>83</v>
      </c>
      <c r="C87" s="68"/>
      <c r="D87" s="72" t="s">
        <v>366</v>
      </c>
      <c r="E87" s="72"/>
      <c r="F87" s="84" t="s">
        <v>367</v>
      </c>
      <c r="G87" s="84"/>
      <c r="H87" s="72"/>
      <c r="I87" s="72"/>
      <c r="J87" s="70" t="s">
        <v>321</v>
      </c>
      <c r="K87" s="22">
        <f t="shared" si="15"/>
        <v>300</v>
      </c>
      <c r="L87" s="36">
        <f t="shared" si="16"/>
        <v>300</v>
      </c>
      <c r="M87" s="74"/>
      <c r="N87" s="74"/>
      <c r="O87" s="74"/>
      <c r="P87" s="74"/>
      <c r="Q87" s="74"/>
      <c r="R87" s="74"/>
      <c r="S87" s="74"/>
      <c r="T87" s="74"/>
      <c r="U87" s="86">
        <v>300</v>
      </c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</row>
    <row r="88" ht="54" spans="2:52">
      <c r="B88" s="33">
        <f t="shared" si="18"/>
        <v>84</v>
      </c>
      <c r="C88" s="68"/>
      <c r="D88" s="72" t="s">
        <v>368</v>
      </c>
      <c r="E88" s="72"/>
      <c r="F88" s="84" t="s">
        <v>369</v>
      </c>
      <c r="G88" s="84"/>
      <c r="H88" s="72"/>
      <c r="I88" s="72"/>
      <c r="J88" s="70" t="s">
        <v>321</v>
      </c>
      <c r="K88" s="22">
        <f t="shared" si="15"/>
        <v>54</v>
      </c>
      <c r="L88" s="36">
        <f t="shared" si="16"/>
        <v>54</v>
      </c>
      <c r="M88" s="74"/>
      <c r="N88" s="74"/>
      <c r="O88" s="74"/>
      <c r="P88" s="74"/>
      <c r="Q88" s="74"/>
      <c r="R88" s="74"/>
      <c r="S88" s="74"/>
      <c r="T88" s="74"/>
      <c r="U88" s="86">
        <v>56</v>
      </c>
      <c r="V88" s="72"/>
      <c r="W88" s="72"/>
      <c r="X88" s="72"/>
      <c r="Y88" s="72"/>
      <c r="Z88" s="72"/>
      <c r="AA88" s="72"/>
      <c r="AB88" s="72">
        <v>1</v>
      </c>
      <c r="AC88" s="72"/>
      <c r="AD88" s="72"/>
      <c r="AE88" s="72"/>
      <c r="AF88" s="72"/>
      <c r="AG88" s="72"/>
      <c r="AH88" s="72"/>
      <c r="AI88" s="72"/>
      <c r="AJ88" s="72"/>
      <c r="AK88" s="72">
        <v>1</v>
      </c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</row>
    <row r="89" ht="27" spans="2:52">
      <c r="B89" s="33">
        <f t="shared" si="18"/>
        <v>85</v>
      </c>
      <c r="C89" s="68"/>
      <c r="D89" s="72" t="s">
        <v>370</v>
      </c>
      <c r="E89" s="72"/>
      <c r="F89" s="84" t="s">
        <v>371</v>
      </c>
      <c r="G89" s="84"/>
      <c r="H89" s="72"/>
      <c r="I89" s="72"/>
      <c r="J89" s="70" t="s">
        <v>321</v>
      </c>
      <c r="K89" s="22">
        <f t="shared" si="15"/>
        <v>931</v>
      </c>
      <c r="L89" s="36">
        <f t="shared" si="16"/>
        <v>931</v>
      </c>
      <c r="M89" s="74"/>
      <c r="N89" s="74"/>
      <c r="O89" s="74"/>
      <c r="P89" s="74"/>
      <c r="Q89" s="74"/>
      <c r="R89" s="74"/>
      <c r="S89" s="74"/>
      <c r="T89" s="74"/>
      <c r="U89" s="86">
        <v>931</v>
      </c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</row>
    <row r="90" ht="40.5" spans="2:52">
      <c r="B90" s="33">
        <f t="shared" ref="B90:B99" si="19">ROW()-4</f>
        <v>86</v>
      </c>
      <c r="C90" s="68"/>
      <c r="D90" s="72" t="s">
        <v>372</v>
      </c>
      <c r="E90" s="72"/>
      <c r="F90" s="84" t="s">
        <v>373</v>
      </c>
      <c r="G90" s="84"/>
      <c r="H90" s="72"/>
      <c r="I90" s="72"/>
      <c r="J90" s="70" t="s">
        <v>321</v>
      </c>
      <c r="K90" s="22">
        <f t="shared" si="15"/>
        <v>15</v>
      </c>
      <c r="L90" s="36">
        <f t="shared" si="16"/>
        <v>15</v>
      </c>
      <c r="M90" s="74"/>
      <c r="N90" s="74"/>
      <c r="O90" s="74"/>
      <c r="P90" s="74"/>
      <c r="Q90" s="74"/>
      <c r="R90" s="74"/>
      <c r="S90" s="74"/>
      <c r="T90" s="74"/>
      <c r="U90" s="86">
        <v>15</v>
      </c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</row>
    <row r="91" ht="67.5" spans="2:52">
      <c r="B91" s="33">
        <f t="shared" si="19"/>
        <v>87</v>
      </c>
      <c r="C91" s="68"/>
      <c r="D91" s="72" t="s">
        <v>374</v>
      </c>
      <c r="E91" s="72"/>
      <c r="F91" s="84" t="s">
        <v>375</v>
      </c>
      <c r="G91" s="84"/>
      <c r="H91" s="72"/>
      <c r="I91" s="72"/>
      <c r="J91" s="70" t="s">
        <v>321</v>
      </c>
      <c r="K91" s="22">
        <f t="shared" si="15"/>
        <v>25</v>
      </c>
      <c r="L91" s="36">
        <f t="shared" si="16"/>
        <v>25</v>
      </c>
      <c r="M91" s="74"/>
      <c r="N91" s="74"/>
      <c r="O91" s="74"/>
      <c r="P91" s="74"/>
      <c r="Q91" s="74"/>
      <c r="R91" s="74"/>
      <c r="S91" s="74"/>
      <c r="T91" s="74"/>
      <c r="U91" s="86">
        <v>25</v>
      </c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</row>
    <row r="92" ht="27" spans="2:52">
      <c r="B92" s="33">
        <f t="shared" si="19"/>
        <v>88</v>
      </c>
      <c r="C92" s="68"/>
      <c r="D92" s="72" t="s">
        <v>376</v>
      </c>
      <c r="E92" s="72"/>
      <c r="F92" s="84" t="s">
        <v>377</v>
      </c>
      <c r="G92" s="84"/>
      <c r="H92" s="72"/>
      <c r="I92" s="72"/>
      <c r="J92" s="70" t="s">
        <v>321</v>
      </c>
      <c r="K92" s="22">
        <f t="shared" si="15"/>
        <v>31</v>
      </c>
      <c r="L92" s="36">
        <f t="shared" si="16"/>
        <v>31</v>
      </c>
      <c r="M92" s="74"/>
      <c r="N92" s="74"/>
      <c r="O92" s="74"/>
      <c r="P92" s="74"/>
      <c r="Q92" s="74"/>
      <c r="R92" s="74"/>
      <c r="S92" s="74"/>
      <c r="T92" s="74"/>
      <c r="U92" s="86">
        <v>31</v>
      </c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</row>
    <row r="93" ht="40.5" spans="2:52">
      <c r="B93" s="33">
        <f t="shared" si="19"/>
        <v>89</v>
      </c>
      <c r="C93" s="68"/>
      <c r="D93" s="72" t="s">
        <v>378</v>
      </c>
      <c r="E93" s="72"/>
      <c r="F93" s="84" t="s">
        <v>379</v>
      </c>
      <c r="G93" s="84"/>
      <c r="H93" s="72"/>
      <c r="I93" s="72"/>
      <c r="J93" s="70" t="s">
        <v>321</v>
      </c>
      <c r="K93" s="22">
        <f t="shared" si="15"/>
        <v>17</v>
      </c>
      <c r="L93" s="36">
        <f t="shared" si="16"/>
        <v>17</v>
      </c>
      <c r="M93" s="74"/>
      <c r="N93" s="74"/>
      <c r="O93" s="74"/>
      <c r="P93" s="74"/>
      <c r="Q93" s="74"/>
      <c r="R93" s="74"/>
      <c r="S93" s="74"/>
      <c r="T93" s="74"/>
      <c r="U93" s="86">
        <v>17</v>
      </c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</row>
    <row r="94" ht="54" spans="2:52">
      <c r="B94" s="33">
        <f t="shared" si="19"/>
        <v>90</v>
      </c>
      <c r="C94" s="68"/>
      <c r="D94" s="72" t="s">
        <v>380</v>
      </c>
      <c r="E94" s="72"/>
      <c r="F94" s="84" t="s">
        <v>381</v>
      </c>
      <c r="G94" s="84"/>
      <c r="H94" s="72"/>
      <c r="I94" s="72"/>
      <c r="J94" s="70" t="s">
        <v>321</v>
      </c>
      <c r="K94" s="22">
        <f t="shared" si="15"/>
        <v>90</v>
      </c>
      <c r="L94" s="36">
        <f t="shared" si="16"/>
        <v>90</v>
      </c>
      <c r="M94" s="74"/>
      <c r="N94" s="74"/>
      <c r="O94" s="74"/>
      <c r="P94" s="74"/>
      <c r="Q94" s="74"/>
      <c r="R94" s="74"/>
      <c r="S94" s="74"/>
      <c r="T94" s="74"/>
      <c r="U94" s="86">
        <v>90</v>
      </c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</row>
    <row r="95" ht="67.5" spans="2:52">
      <c r="B95" s="33">
        <f t="shared" si="19"/>
        <v>91</v>
      </c>
      <c r="C95" s="68"/>
      <c r="D95" s="72" t="s">
        <v>382</v>
      </c>
      <c r="E95" s="72"/>
      <c r="F95" s="84" t="s">
        <v>383</v>
      </c>
      <c r="G95" s="84"/>
      <c r="H95" s="72"/>
      <c r="I95" s="72"/>
      <c r="J95" s="70" t="s">
        <v>321</v>
      </c>
      <c r="K95" s="22">
        <f t="shared" si="15"/>
        <v>450</v>
      </c>
      <c r="L95" s="36">
        <f t="shared" si="16"/>
        <v>450</v>
      </c>
      <c r="M95" s="74"/>
      <c r="N95" s="74"/>
      <c r="O95" s="74"/>
      <c r="P95" s="74"/>
      <c r="Q95" s="74"/>
      <c r="R95" s="74"/>
      <c r="S95" s="74"/>
      <c r="T95" s="74"/>
      <c r="U95" s="86">
        <v>450</v>
      </c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</row>
    <row r="96" ht="94.5" spans="2:52">
      <c r="B96" s="33">
        <f t="shared" si="19"/>
        <v>92</v>
      </c>
      <c r="C96" s="68"/>
      <c r="D96" s="72" t="s">
        <v>384</v>
      </c>
      <c r="E96" s="72"/>
      <c r="F96" s="84" t="s">
        <v>385</v>
      </c>
      <c r="G96" s="84"/>
      <c r="H96" s="72"/>
      <c r="I96" s="72"/>
      <c r="J96" s="70" t="s">
        <v>321</v>
      </c>
      <c r="K96" s="22">
        <f t="shared" si="15"/>
        <v>30</v>
      </c>
      <c r="L96" s="36">
        <f t="shared" si="16"/>
        <v>30</v>
      </c>
      <c r="M96" s="74"/>
      <c r="N96" s="74"/>
      <c r="O96" s="74"/>
      <c r="P96" s="74"/>
      <c r="Q96" s="74"/>
      <c r="R96" s="74"/>
      <c r="S96" s="74"/>
      <c r="T96" s="74"/>
      <c r="U96" s="86">
        <v>30</v>
      </c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</row>
    <row r="97" ht="27" spans="2:52">
      <c r="B97" s="33">
        <f t="shared" si="19"/>
        <v>93</v>
      </c>
      <c r="C97" s="68"/>
      <c r="D97" s="72" t="s">
        <v>386</v>
      </c>
      <c r="E97" s="72"/>
      <c r="F97" s="84" t="s">
        <v>387</v>
      </c>
      <c r="G97" s="84"/>
      <c r="H97" s="72"/>
      <c r="I97" s="72"/>
      <c r="J97" s="70" t="s">
        <v>321</v>
      </c>
      <c r="K97" s="22">
        <f t="shared" si="15"/>
        <v>3</v>
      </c>
      <c r="L97" s="36">
        <f t="shared" si="16"/>
        <v>3</v>
      </c>
      <c r="M97" s="74"/>
      <c r="N97" s="74"/>
      <c r="O97" s="74"/>
      <c r="P97" s="74"/>
      <c r="Q97" s="74"/>
      <c r="R97" s="74"/>
      <c r="S97" s="74"/>
      <c r="T97" s="74"/>
      <c r="U97" s="86">
        <v>3</v>
      </c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</row>
    <row r="98" ht="40.5" spans="2:52">
      <c r="B98" s="33">
        <f t="shared" si="19"/>
        <v>94</v>
      </c>
      <c r="C98" s="68"/>
      <c r="D98" s="72" t="s">
        <v>388</v>
      </c>
      <c r="E98" s="72"/>
      <c r="F98" s="84" t="s">
        <v>389</v>
      </c>
      <c r="G98" s="84"/>
      <c r="H98" s="72"/>
      <c r="I98" s="72"/>
      <c r="J98" s="70" t="s">
        <v>321</v>
      </c>
      <c r="K98" s="22">
        <f t="shared" si="15"/>
        <v>20</v>
      </c>
      <c r="L98" s="36">
        <f t="shared" si="16"/>
        <v>20</v>
      </c>
      <c r="M98" s="74"/>
      <c r="N98" s="74"/>
      <c r="O98" s="74"/>
      <c r="P98" s="74"/>
      <c r="Q98" s="74"/>
      <c r="R98" s="74"/>
      <c r="S98" s="74"/>
      <c r="T98" s="74"/>
      <c r="U98" s="86">
        <v>20</v>
      </c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</row>
    <row r="99" ht="27" spans="2:52">
      <c r="B99" s="33">
        <f t="shared" si="19"/>
        <v>95</v>
      </c>
      <c r="C99" s="68"/>
      <c r="D99" s="72" t="s">
        <v>390</v>
      </c>
      <c r="E99" s="72"/>
      <c r="F99" s="84" t="s">
        <v>391</v>
      </c>
      <c r="G99" s="84"/>
      <c r="H99" s="72"/>
      <c r="I99" s="72"/>
      <c r="J99" s="70" t="s">
        <v>321</v>
      </c>
      <c r="K99" s="22">
        <f t="shared" si="15"/>
        <v>23</v>
      </c>
      <c r="L99" s="36">
        <f t="shared" si="16"/>
        <v>23</v>
      </c>
      <c r="M99" s="74"/>
      <c r="N99" s="74"/>
      <c r="O99" s="74"/>
      <c r="P99" s="74"/>
      <c r="Q99" s="74"/>
      <c r="R99" s="74"/>
      <c r="S99" s="74"/>
      <c r="T99" s="74"/>
      <c r="U99" s="86">
        <v>23</v>
      </c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</row>
    <row r="100" ht="27" spans="2:52">
      <c r="B100" s="33">
        <f t="shared" ref="B100:B106" si="20">ROW()-4</f>
        <v>96</v>
      </c>
      <c r="C100" s="68"/>
      <c r="D100" s="72" t="s">
        <v>392</v>
      </c>
      <c r="E100" s="72"/>
      <c r="F100" s="84" t="s">
        <v>393</v>
      </c>
      <c r="G100" s="84"/>
      <c r="H100" s="72"/>
      <c r="I100" s="72"/>
      <c r="J100" s="70" t="s">
        <v>321</v>
      </c>
      <c r="K100" s="22">
        <f t="shared" si="15"/>
        <v>24</v>
      </c>
      <c r="L100" s="36">
        <f t="shared" si="16"/>
        <v>24</v>
      </c>
      <c r="M100" s="74"/>
      <c r="N100" s="74"/>
      <c r="O100" s="74"/>
      <c r="P100" s="74"/>
      <c r="Q100" s="74"/>
      <c r="R100" s="74"/>
      <c r="S100" s="74"/>
      <c r="T100" s="74"/>
      <c r="U100" s="86">
        <v>24</v>
      </c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</row>
    <row r="101" ht="40.5" spans="2:52">
      <c r="B101" s="33">
        <f t="shared" si="20"/>
        <v>97</v>
      </c>
      <c r="C101" s="68"/>
      <c r="D101" s="72" t="s">
        <v>394</v>
      </c>
      <c r="E101" s="72"/>
      <c r="F101" s="84" t="s">
        <v>395</v>
      </c>
      <c r="G101" s="84"/>
      <c r="H101" s="72"/>
      <c r="I101" s="72"/>
      <c r="J101" s="70" t="s">
        <v>321</v>
      </c>
      <c r="K101" s="22">
        <f t="shared" si="15"/>
        <v>7</v>
      </c>
      <c r="L101" s="36">
        <f t="shared" si="16"/>
        <v>7</v>
      </c>
      <c r="M101" s="74"/>
      <c r="N101" s="74"/>
      <c r="O101" s="74"/>
      <c r="P101" s="74"/>
      <c r="Q101" s="74"/>
      <c r="R101" s="74"/>
      <c r="S101" s="74"/>
      <c r="T101" s="74"/>
      <c r="U101" s="86">
        <v>7</v>
      </c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</row>
    <row r="102" ht="40.5" spans="2:52">
      <c r="B102" s="33">
        <f t="shared" si="20"/>
        <v>98</v>
      </c>
      <c r="C102" s="68"/>
      <c r="D102" s="72" t="s">
        <v>396</v>
      </c>
      <c r="E102" s="72"/>
      <c r="F102" s="84" t="s">
        <v>397</v>
      </c>
      <c r="G102" s="84"/>
      <c r="H102" s="72"/>
      <c r="I102" s="72"/>
      <c r="J102" s="70" t="s">
        <v>321</v>
      </c>
      <c r="K102" s="22">
        <f t="shared" si="15"/>
        <v>28</v>
      </c>
      <c r="L102" s="36">
        <f t="shared" si="16"/>
        <v>28</v>
      </c>
      <c r="M102" s="74"/>
      <c r="N102" s="74"/>
      <c r="O102" s="74"/>
      <c r="P102" s="74"/>
      <c r="Q102" s="74"/>
      <c r="R102" s="74"/>
      <c r="S102" s="74"/>
      <c r="T102" s="74"/>
      <c r="U102" s="86">
        <v>28</v>
      </c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</row>
    <row r="103" spans="2:52">
      <c r="B103" s="33">
        <f t="shared" si="20"/>
        <v>99</v>
      </c>
      <c r="C103" s="68"/>
      <c r="D103" s="72"/>
      <c r="E103" s="72"/>
      <c r="F103" s="84" t="s">
        <v>398</v>
      </c>
      <c r="G103" s="84"/>
      <c r="H103" s="72"/>
      <c r="I103" s="72"/>
      <c r="J103" s="70" t="s">
        <v>399</v>
      </c>
      <c r="K103" s="22">
        <f t="shared" si="15"/>
        <v>6</v>
      </c>
      <c r="L103" s="36">
        <f t="shared" si="16"/>
        <v>6</v>
      </c>
      <c r="M103" s="74"/>
      <c r="N103" s="74"/>
      <c r="O103" s="74"/>
      <c r="P103" s="74"/>
      <c r="Q103" s="74"/>
      <c r="R103" s="74"/>
      <c r="S103" s="74"/>
      <c r="T103" s="74"/>
      <c r="U103" s="86">
        <v>6</v>
      </c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</row>
    <row r="104" spans="2:52">
      <c r="B104" s="33">
        <f t="shared" si="20"/>
        <v>100</v>
      </c>
      <c r="C104" s="68"/>
      <c r="D104" s="72"/>
      <c r="E104" s="72"/>
      <c r="F104" s="84" t="s">
        <v>400</v>
      </c>
      <c r="G104" s="84"/>
      <c r="H104" s="72"/>
      <c r="I104" s="72"/>
      <c r="J104" s="70" t="s">
        <v>399</v>
      </c>
      <c r="K104" s="22">
        <f t="shared" si="15"/>
        <v>25</v>
      </c>
      <c r="L104" s="36">
        <f t="shared" si="16"/>
        <v>25</v>
      </c>
      <c r="M104" s="74"/>
      <c r="N104" s="74"/>
      <c r="O104" s="74"/>
      <c r="P104" s="74"/>
      <c r="Q104" s="74"/>
      <c r="R104" s="74"/>
      <c r="S104" s="74"/>
      <c r="T104" s="74"/>
      <c r="U104" s="86">
        <v>25</v>
      </c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</row>
    <row r="105" spans="2:52">
      <c r="B105" s="33">
        <f t="shared" si="20"/>
        <v>101</v>
      </c>
      <c r="C105" s="68"/>
      <c r="D105" s="72"/>
      <c r="E105" s="72"/>
      <c r="F105" s="84" t="s">
        <v>401</v>
      </c>
      <c r="G105" s="84"/>
      <c r="H105" s="72"/>
      <c r="I105" s="72"/>
      <c r="J105" s="70" t="s">
        <v>399</v>
      </c>
      <c r="K105" s="22">
        <f t="shared" si="15"/>
        <v>15</v>
      </c>
      <c r="L105" s="36">
        <f t="shared" si="16"/>
        <v>15</v>
      </c>
      <c r="M105" s="74"/>
      <c r="N105" s="74"/>
      <c r="O105" s="74"/>
      <c r="P105" s="74"/>
      <c r="Q105" s="74"/>
      <c r="R105" s="74"/>
      <c r="S105" s="74"/>
      <c r="T105" s="74"/>
      <c r="U105" s="75">
        <v>15</v>
      </c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</row>
    <row r="106" spans="2:52">
      <c r="B106" s="33">
        <f t="shared" si="20"/>
        <v>102</v>
      </c>
      <c r="C106" s="68"/>
      <c r="D106" s="72"/>
      <c r="E106" s="72"/>
      <c r="F106" s="84" t="s">
        <v>402</v>
      </c>
      <c r="G106" s="84"/>
      <c r="H106" s="72"/>
      <c r="I106" s="72"/>
      <c r="J106" s="70" t="s">
        <v>399</v>
      </c>
      <c r="K106" s="22">
        <f t="shared" si="15"/>
        <v>7</v>
      </c>
      <c r="L106" s="36">
        <f t="shared" si="16"/>
        <v>7</v>
      </c>
      <c r="M106" s="74"/>
      <c r="N106" s="74"/>
      <c r="O106" s="74"/>
      <c r="P106" s="74"/>
      <c r="Q106" s="74"/>
      <c r="R106" s="74"/>
      <c r="S106" s="74"/>
      <c r="T106" s="74"/>
      <c r="U106" s="75">
        <v>7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3:AZ106" etc:filterBottomFollowUsedRange="0">
    <extLst/>
  </autoFilter>
  <mergeCells count="23">
    <mergeCell ref="B1:J1"/>
    <mergeCell ref="K1:R1"/>
    <mergeCell ref="U1:AZ1"/>
    <mergeCell ref="M2:Q2"/>
    <mergeCell ref="B4:J4"/>
    <mergeCell ref="B13:J13"/>
    <mergeCell ref="B46:J46"/>
    <mergeCell ref="B56:J56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R2:R3"/>
    <mergeCell ref="S1:S3"/>
    <mergeCell ref="T1:T3"/>
    <mergeCell ref="T6:T7"/>
    <mergeCell ref="U2:U3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GMT库存产品清单</vt:lpstr>
      <vt:lpstr>贝朗库存产品清单</vt:lpstr>
      <vt:lpstr>库存数量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田莎</cp:lastModifiedBy>
  <dcterms:created xsi:type="dcterms:W3CDTF">2024-09-16T09:15:00Z</dcterms:created>
  <dcterms:modified xsi:type="dcterms:W3CDTF">2026-08-14T08:36:56Z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D77DF7CC638545629AA3105A3FAB9CCD_13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